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rontpage" sheetId="1" r:id="rId5"/>
    <sheet state="visible" name="Foods" sheetId="2" r:id="rId6"/>
    <sheet state="visible" name="Armour" sheetId="3" r:id="rId7"/>
    <sheet state="visible" name="Shields" sheetId="4" r:id="rId8"/>
    <sheet state="visible" name="Tool" sheetId="5" r:id="rId9"/>
    <sheet state="visible" name="Weapon" sheetId="6" r:id="rId10"/>
    <sheet state="visible" name="Vehicle" sheetId="7" r:id="rId11"/>
    <sheet state="visible" name="Structure" sheetId="8" r:id="rId12"/>
    <sheet state="visible" name="NPCs" sheetId="9" r:id="rId13"/>
    <sheet state="visible" name="Extras" sheetId="10" r:id="rId14"/>
    <sheet state="visible" name="Recipes" sheetId="11" r:id="rId15"/>
    <sheet state="visible" name="ResourceOverview" sheetId="12" r:id="rId16"/>
  </sheets>
  <definedNames/>
  <calcPr/>
</workbook>
</file>

<file path=xl/sharedStrings.xml><?xml version="1.0" encoding="utf-8"?>
<sst xmlns="http://schemas.openxmlformats.org/spreadsheetml/2006/main" count="5062" uniqueCount="2353">
  <si>
    <t>Armoury</t>
  </si>
  <si>
    <t>Weapon</t>
  </si>
  <si>
    <t>Food</t>
  </si>
  <si>
    <t>Helmet:</t>
  </si>
  <si>
    <t>Reinforced Helmet</t>
  </si>
  <si>
    <t>Primary</t>
  </si>
  <si>
    <t>Type</t>
  </si>
  <si>
    <t>Secondary</t>
  </si>
  <si>
    <t>Chest:</t>
  </si>
  <si>
    <t>Reinforced Chest</t>
  </si>
  <si>
    <t>Attack</t>
  </si>
  <si>
    <t>Flint Spear</t>
  </si>
  <si>
    <t>Regen per Sec</t>
  </si>
  <si>
    <t>Legs:</t>
  </si>
  <si>
    <t>Reinforced Leg</t>
  </si>
  <si>
    <t>Speed</t>
  </si>
  <si>
    <t>Duration</t>
  </si>
  <si>
    <t>Shield:</t>
  </si>
  <si>
    <t>Superior Shield</t>
  </si>
  <si>
    <t>Movement</t>
  </si>
  <si>
    <t>Hunger</t>
  </si>
  <si>
    <t>Dmg Mitigation:</t>
  </si>
  <si>
    <t>Stability Dmg</t>
  </si>
  <si>
    <t>Health:</t>
  </si>
  <si>
    <t>Stamina</t>
  </si>
  <si>
    <t>Stability Mitigation:</t>
  </si>
  <si>
    <t>Effectivness</t>
  </si>
  <si>
    <t>Infantry:</t>
  </si>
  <si>
    <t>NPC's:</t>
  </si>
  <si>
    <t>NPC's</t>
  </si>
  <si>
    <t>Mounted Units:</t>
  </si>
  <si>
    <t>Wolf</t>
  </si>
  <si>
    <t>NPC's Health</t>
  </si>
  <si>
    <t>❤️</t>
  </si>
  <si>
    <t>Hits taken</t>
  </si>
  <si>
    <t>Armour</t>
  </si>
  <si>
    <t>Needed hits</t>
  </si>
  <si>
    <t>ID</t>
  </si>
  <si>
    <t>Effect</t>
  </si>
  <si>
    <t>Food Type</t>
  </si>
  <si>
    <t>F100</t>
  </si>
  <si>
    <t>Berries</t>
  </si>
  <si>
    <t>1.0❤️</t>
  </si>
  <si>
    <t>30 sec</t>
  </si>
  <si>
    <t>🍴3</t>
  </si>
  <si>
    <t>Berry</t>
  </si>
  <si>
    <t>F101</t>
  </si>
  <si>
    <t>Bloodberry Field Bar</t>
  </si>
  <si>
    <t>1.5❤️</t>
  </si>
  <si>
    <t>2 min</t>
  </si>
  <si>
    <t>🍴15</t>
  </si>
  <si>
    <t>F102</t>
  </si>
  <si>
    <t>Boiled Cabbage</t>
  </si>
  <si>
    <t>🍴80</t>
  </si>
  <si>
    <t>Produce</t>
  </si>
  <si>
    <t>F103</t>
  </si>
  <si>
    <t>Boiled Eggs</t>
  </si>
  <si>
    <t>2.0❤️</t>
  </si>
  <si>
    <t>45 sec</t>
  </si>
  <si>
    <t>🍴35</t>
  </si>
  <si>
    <t>F104</t>
  </si>
  <si>
    <t>Egg Tarte</t>
  </si>
  <si>
    <t>8 min</t>
  </si>
  <si>
    <t>🍴100</t>
  </si>
  <si>
    <t>F105</t>
  </si>
  <si>
    <t>Grilled Whitefish</t>
  </si>
  <si>
    <t>5 sec</t>
  </si>
  <si>
    <t>Fish</t>
  </si>
  <si>
    <t>F106</t>
  </si>
  <si>
    <t>Lost Bread</t>
  </si>
  <si>
    <t>0.5❤️</t>
  </si>
  <si>
    <t>10 min</t>
  </si>
  <si>
    <t>🍴60</t>
  </si>
  <si>
    <t>Wheat</t>
  </si>
  <si>
    <t>F107</t>
  </si>
  <si>
    <t>Mead</t>
  </si>
  <si>
    <t>3 min</t>
  </si>
  <si>
    <t>🍴20</t>
  </si>
  <si>
    <t>F108</t>
  </si>
  <si>
    <t>Pemmikan</t>
  </si>
  <si>
    <t>🍴25</t>
  </si>
  <si>
    <t>Common Meat</t>
  </si>
  <si>
    <t>F109</t>
  </si>
  <si>
    <t>Plain Alemette</t>
  </si>
  <si>
    <t>50 sec</t>
  </si>
  <si>
    <t>🍴30</t>
  </si>
  <si>
    <t>F110</t>
  </si>
  <si>
    <t>Roasted Game</t>
  </si>
  <si>
    <t>4 min</t>
  </si>
  <si>
    <t>Deer Meat</t>
  </si>
  <si>
    <t>F111</t>
  </si>
  <si>
    <t>Roasted Hog's Leg</t>
  </si>
  <si>
    <t>Boar Meat</t>
  </si>
  <si>
    <t>F112</t>
  </si>
  <si>
    <t>Small Roasted Game</t>
  </si>
  <si>
    <t>F113</t>
  </si>
  <si>
    <t>Trencher Bread</t>
  </si>
  <si>
    <t>1 min</t>
  </si>
  <si>
    <t>F114</t>
  </si>
  <si>
    <t>Water Pie</t>
  </si>
  <si>
    <t>15 min</t>
  </si>
  <si>
    <t>🍴70</t>
  </si>
  <si>
    <t>Dmg Mitigation</t>
  </si>
  <si>
    <t>Stb Mitigation</t>
  </si>
  <si>
    <t>Requirements</t>
  </si>
  <si>
    <t>Bodypart</t>
  </si>
  <si>
    <t>Temperature Mitigation</t>
  </si>
  <si>
    <t>Armour Class</t>
  </si>
  <si>
    <t>Heavy Armour</t>
  </si>
  <si>
    <t>Projectile Stagger immunity</t>
  </si>
  <si>
    <t>Projectile Deflection</t>
  </si>
  <si>
    <t>Piercing Vulnerability</t>
  </si>
  <si>
    <t>A100</t>
  </si>
  <si>
    <t>Common Bottoms</t>
  </si>
  <si>
    <t>-</t>
  </si>
  <si>
    <t>Leg</t>
  </si>
  <si>
    <t>Clothing</t>
  </si>
  <si>
    <t>Heavy Chest</t>
  </si>
  <si>
    <t>Yes</t>
  </si>
  <si>
    <t>No</t>
  </si>
  <si>
    <t>A101</t>
  </si>
  <si>
    <t>Common Garment</t>
  </si>
  <si>
    <t>Chest</t>
  </si>
  <si>
    <t xml:space="preserve">Heavy </t>
  </si>
  <si>
    <t>A102</t>
  </si>
  <si>
    <t>Crude Chest</t>
  </si>
  <si>
    <t>A103</t>
  </si>
  <si>
    <t>Crude Helmet</t>
  </si>
  <si>
    <t>Head</t>
  </si>
  <si>
    <t xml:space="preserve">Reinforced </t>
  </si>
  <si>
    <t>A104</t>
  </si>
  <si>
    <t>Crude Leg</t>
  </si>
  <si>
    <t>Light</t>
  </si>
  <si>
    <t>A106</t>
  </si>
  <si>
    <t>Melee 5</t>
  </si>
  <si>
    <t>A107</t>
  </si>
  <si>
    <t>Heavy Helmet</t>
  </si>
  <si>
    <t>Heavy Armour: Prevents arming bows and spears.</t>
  </si>
  <si>
    <t>A108</t>
  </si>
  <si>
    <t>Heavy Leg</t>
  </si>
  <si>
    <t>Projectile Stagger Immunity: Does not get staggered by projectiles.</t>
  </si>
  <si>
    <t>A110</t>
  </si>
  <si>
    <t>Light Chest</t>
  </si>
  <si>
    <t>Projectile Deflection: Can deflect Crude Shortbow Arrows , Shortbow Arrows , Longbow Arrows , and Javelin . Deflection chance is higher if projectiles are coming from in front.</t>
  </si>
  <si>
    <t>A111</t>
  </si>
  <si>
    <t>Light Helmet</t>
  </si>
  <si>
    <t>Piercing Vulnerability: Halves the total mitigation against Piercing  damage type.</t>
  </si>
  <si>
    <t>A112</t>
  </si>
  <si>
    <t>Light Leg</t>
  </si>
  <si>
    <t>A114</t>
  </si>
  <si>
    <t>Melee 3</t>
  </si>
  <si>
    <t>A115</t>
  </si>
  <si>
    <t>A116</t>
  </si>
  <si>
    <t>A117</t>
  </si>
  <si>
    <t>Light Garment</t>
  </si>
  <si>
    <t>Damage Mitigation</t>
  </si>
  <si>
    <t>A118</t>
  </si>
  <si>
    <t>Light Bottoms</t>
  </si>
  <si>
    <t>Damage mitigation reduces the amount of taken damage. It is multiplicative and each quality level provides 10%, 20%, 30% additional damage mitigation over base damage mitigation respectively.</t>
  </si>
  <si>
    <t>Total damage mitigation is calculated following this formula:</t>
  </si>
  <si>
    <t>TotalDmgMit = 1 - (( 1 - (DmgMitA * QltyLvLMult) ) * ( 1 - (DmgMitB * QltyLvLMult) ) * ( 1 - (DmgMitC * QltyLvLMult) ))</t>
  </si>
  <si>
    <t>Stability Mitigation</t>
  </si>
  <si>
    <t>Stability mitigation reduces the stagger time while in combat. It is addictive and not affected by armour quality.</t>
  </si>
  <si>
    <t>Total stability mitigation is calculated following this formula:</t>
  </si>
  <si>
    <t>TotalStbMit = StbMitA + StbMitB + StbMitC</t>
  </si>
  <si>
    <t>Temperature mitigation reduces the heat transfer amount per second, slowing both cooling down and heating up. Total temperature mitigation is addictive and not affected by armour quality.</t>
  </si>
  <si>
    <t>Total temperature mitigation is calculated following this formula:</t>
  </si>
  <si>
    <t>TotalTmpMit = TmpMitA + TmpMitB + TmpMitC</t>
  </si>
  <si>
    <t>Durability</t>
  </si>
  <si>
    <t>Stability Loss pH</t>
  </si>
  <si>
    <t>SH100</t>
  </si>
  <si>
    <t>Crude Shield</t>
  </si>
  <si>
    <t>223 Hits</t>
  </si>
  <si>
    <t>SH101</t>
  </si>
  <si>
    <t>Iron Shield</t>
  </si>
  <si>
    <t>SH102</t>
  </si>
  <si>
    <t>Light Targe</t>
  </si>
  <si>
    <t>SH103</t>
  </si>
  <si>
    <t>Missile  damage deals 50% less guard stamina damage to shields.</t>
  </si>
  <si>
    <t>Effectiveness</t>
  </si>
  <si>
    <t>T100</t>
  </si>
  <si>
    <t>Alliance Banner</t>
  </si>
  <si>
    <t>T101</t>
  </si>
  <si>
    <t>Bronze Axe</t>
  </si>
  <si>
    <t>T102</t>
  </si>
  <si>
    <t>Bronze Knife</t>
  </si>
  <si>
    <t>T103</t>
  </si>
  <si>
    <t>Bronze Pickaxe</t>
  </si>
  <si>
    <t>T104</t>
  </si>
  <si>
    <t>Fishing Pole</t>
  </si>
  <si>
    <t>T105</t>
  </si>
  <si>
    <t>Flint Hammer</t>
  </si>
  <si>
    <t>T106</t>
  </si>
  <si>
    <t>Flint Knife</t>
  </si>
  <si>
    <t>T107</t>
  </si>
  <si>
    <t>Flint Pickaxe</t>
  </si>
  <si>
    <t>T108</t>
  </si>
  <si>
    <t>Hands</t>
  </si>
  <si>
    <t>T109</t>
  </si>
  <si>
    <t>Iron Axe</t>
  </si>
  <si>
    <t>T110</t>
  </si>
  <si>
    <t>Iron Broadaxe</t>
  </si>
  <si>
    <t>T111</t>
  </si>
  <si>
    <t>Iron Hammer</t>
  </si>
  <si>
    <t>T112</t>
  </si>
  <si>
    <t>Iron Hoe</t>
  </si>
  <si>
    <t>T113</t>
  </si>
  <si>
    <t>Iron Knife</t>
  </si>
  <si>
    <t>T114</t>
  </si>
  <si>
    <t>Iron Pickaxe</t>
  </si>
  <si>
    <t>T115</t>
  </si>
  <si>
    <t>Iron Scythe</t>
  </si>
  <si>
    <t>T116</t>
  </si>
  <si>
    <t>Rope</t>
  </si>
  <si>
    <t>T117</t>
  </si>
  <si>
    <t>Stone Axe</t>
  </si>
  <si>
    <t>Attack 1</t>
  </si>
  <si>
    <t>Attacktime 1</t>
  </si>
  <si>
    <t>Movement 1</t>
  </si>
  <si>
    <t>Ability 1</t>
  </si>
  <si>
    <t>Stamina 1</t>
  </si>
  <si>
    <t>Attack 2</t>
  </si>
  <si>
    <t>Attacktime 2</t>
  </si>
  <si>
    <t>Movement 2</t>
  </si>
  <si>
    <t>Ability 2</t>
  </si>
  <si>
    <t>Stamina 2</t>
  </si>
  <si>
    <t>Attack 3</t>
  </si>
  <si>
    <t>Attacktime 3</t>
  </si>
  <si>
    <t>Movement 3</t>
  </si>
  <si>
    <t>Ability 3</t>
  </si>
  <si>
    <t>Stamina 3</t>
  </si>
  <si>
    <t>Stability Loss</t>
  </si>
  <si>
    <t>W100</t>
  </si>
  <si>
    <t>Bronze Short Sword</t>
  </si>
  <si>
    <t>Slashing 27 - 33</t>
  </si>
  <si>
    <t>1 sec</t>
  </si>
  <si>
    <t>⚡20</t>
  </si>
  <si>
    <t>Slashing 17-20</t>
  </si>
  <si>
    <t>0.75 sec</t>
  </si>
  <si>
    <t>⚡15</t>
  </si>
  <si>
    <t>Slashing 40-49</t>
  </si>
  <si>
    <t>1.47 sec</t>
  </si>
  <si>
    <t>Damage to guard: 10%</t>
  </si>
  <si>
    <t>🛡️32%</t>
  </si>
  <si>
    <t>W101</t>
  </si>
  <si>
    <t>Bronze Spear</t>
  </si>
  <si>
    <t>Impale 22 - 27</t>
  </si>
  <si>
    <t>Impale 45 - 55</t>
  </si>
  <si>
    <t>0.7 sec</t>
  </si>
  <si>
    <t>🛡️28%</t>
  </si>
  <si>
    <t>Cannot be used with Reinforced Armour or Heavy Armour</t>
  </si>
  <si>
    <t>W102</t>
  </si>
  <si>
    <t>Burning Oil</t>
  </si>
  <si>
    <t>Burning 45 - 55</t>
  </si>
  <si>
    <t>0.34 sec</t>
  </si>
  <si>
    <t>66.5%</t>
  </si>
  <si>
    <t>Range 5m</t>
  </si>
  <si>
    <t>⚡10</t>
  </si>
  <si>
    <t>⚡-</t>
  </si>
  <si>
    <t>🛡️-</t>
  </si>
  <si>
    <t>W103</t>
  </si>
  <si>
    <t>Crude Short Sword</t>
  </si>
  <si>
    <t>Slashing 21 - 26</t>
  </si>
  <si>
    <t>Slashing  13 - 16</t>
  </si>
  <si>
    <t>Slashing 32-39</t>
  </si>
  <si>
    <t>Damage to guard: 6%</t>
  </si>
  <si>
    <t>🛡️36%</t>
  </si>
  <si>
    <t>W104</t>
  </si>
  <si>
    <t>Crude Shortbow</t>
  </si>
  <si>
    <t>Missile 49 - 60</t>
  </si>
  <si>
    <t>1.17 sec</t>
  </si>
  <si>
    <t>Range 27m , Inaccuracy 0m - 1m , Max Accuracy 1s</t>
  </si>
  <si>
    <t>⚡8</t>
  </si>
  <si>
    <t>Range 16m , Inaccuracy 1.5m - 3.5m , Max Accuracy 1s</t>
  </si>
  <si>
    <t>Bows cannot be armed while wearing reinforced armour or heavy armour.</t>
  </si>
  <si>
    <t>W105</t>
  </si>
  <si>
    <t>Crude Throwing Axe</t>
  </si>
  <si>
    <t>Slashing 13 - 16</t>
  </si>
  <si>
    <t>0.2 sec</t>
  </si>
  <si>
    <t>It always staggers the target on impact even if it is wearing heavy armour.</t>
  </si>
  <si>
    <t>W106</t>
  </si>
  <si>
    <t>Fine Longsword</t>
  </si>
  <si>
    <t>Piercing 49 - 60</t>
  </si>
  <si>
    <t>Piercing 35 - 42</t>
  </si>
  <si>
    <t>Piercing 81 - 99</t>
  </si>
  <si>
    <t>1.75 sec</t>
  </si>
  <si>
    <t>Damage to guard: 15%</t>
  </si>
  <si>
    <t>🛡️24%</t>
  </si>
  <si>
    <t>Melee 6</t>
  </si>
  <si>
    <t>W107</t>
  </si>
  <si>
    <t>Fine Short Sword</t>
  </si>
  <si>
    <t>Slashing 40 - 49</t>
  </si>
  <si>
    <t>Slashing  26 - 31</t>
  </si>
  <si>
    <t>Slashing 60 - 73</t>
  </si>
  <si>
    <t>W108</t>
  </si>
  <si>
    <t>Impaling 16 - 19</t>
  </si>
  <si>
    <t>Impale 18 - 22</t>
  </si>
  <si>
    <t>W109</t>
  </si>
  <si>
    <t>Iron Longsword</t>
  </si>
  <si>
    <t>Piercing 40 - 49</t>
  </si>
  <si>
    <t>Piercing 32 - 39</t>
  </si>
  <si>
    <t>Piercing 73 - 90</t>
  </si>
  <si>
    <t>Melee 4</t>
  </si>
  <si>
    <t>W110</t>
  </si>
  <si>
    <t>Iron Mace</t>
  </si>
  <si>
    <t>Crush 25 - 30</t>
  </si>
  <si>
    <t>Stability Damage 3.75%</t>
  </si>
  <si>
    <t>W111</t>
  </si>
  <si>
    <t>Iron Short Sword</t>
  </si>
  <si>
    <t>Slashing 31 - 38</t>
  </si>
  <si>
    <t>Slashing 20 - 25</t>
  </si>
  <si>
    <t>Slashing 46 - 57</t>
  </si>
  <si>
    <t>W112</t>
  </si>
  <si>
    <t>Iron Spear</t>
  </si>
  <si>
    <t>Impale 29 - 36</t>
  </si>
  <si>
    <t>Impale 67 - 82</t>
  </si>
  <si>
    <t>W113</t>
  </si>
  <si>
    <t>Javelin</t>
  </si>
  <si>
    <t>Slashing 25 - 30</t>
  </si>
  <si>
    <t>Missile 135 - 165</t>
  </si>
  <si>
    <t>Range 20m</t>
  </si>
  <si>
    <t>Melee 2 , Ranged 4 Cannot be used with Reinforced Armour or Heavy Armour</t>
  </si>
  <si>
    <t>W114</t>
  </si>
  <si>
    <t>Longbow</t>
  </si>
  <si>
    <t>Missile 117 - 144</t>
  </si>
  <si>
    <t>Range 34m , Inaccuracy 0m - 3m, Max Accuracy 1s</t>
  </si>
  <si>
    <t>Missile 94 - 115</t>
  </si>
  <si>
    <t>Range 35m , Inaccuracy 2m - 4m , Max Accuracy 1s</t>
  </si>
  <si>
    <t>Ranged 5, Bows cannot be armed while wearing reinforced armour or heavy armour.</t>
  </si>
  <si>
    <t>W115</t>
  </si>
  <si>
    <t>Masterwork Short Sword</t>
  </si>
  <si>
    <t>Slashing 49 - 60</t>
  </si>
  <si>
    <t>Slashing 34 - 41</t>
  </si>
  <si>
    <t>Slashing 73 - 90</t>
  </si>
  <si>
    <t>Melee 7</t>
  </si>
  <si>
    <t>W116</t>
  </si>
  <si>
    <t>Oil Flask</t>
  </si>
  <si>
    <t>Siege 10 - 13</t>
  </si>
  <si>
    <t>Range 6m , No Damage to stone structures</t>
  </si>
  <si>
    <t>W117</t>
  </si>
  <si>
    <t>Quality Throwing Axe</t>
  </si>
  <si>
    <t>Slashing 22 - 27</t>
  </si>
  <si>
    <t>W118</t>
  </si>
  <si>
    <t>Shortbow</t>
  </si>
  <si>
    <t>Missile 76 - 93</t>
  </si>
  <si>
    <t>Ranged 3, Bows cannot be armed while wearing reinforced armour or heavy armour.</t>
  </si>
  <si>
    <t>W119</t>
  </si>
  <si>
    <t>Superior Longsword</t>
  </si>
  <si>
    <t>Piercing 54 - 66</t>
  </si>
  <si>
    <t>Piercing 37 - 46</t>
  </si>
  <si>
    <t>Piercing 87 - 106</t>
  </si>
  <si>
    <t>W120</t>
  </si>
  <si>
    <t>Superior Short Sword</t>
  </si>
  <si>
    <t>Slashing 45 - 55</t>
  </si>
  <si>
    <t>Slashing 29 - 36</t>
  </si>
  <si>
    <t>Slashing 67 - 82</t>
  </si>
  <si>
    <t>W121</t>
  </si>
  <si>
    <t>Superior Shortbow</t>
  </si>
  <si>
    <t>W122</t>
  </si>
  <si>
    <t>Superior Spear</t>
  </si>
  <si>
    <t>Impaling 46 - 57</t>
  </si>
  <si>
    <t>Impaling 76 - 93</t>
  </si>
  <si>
    <t>Melee 5 , Ranged 5 , Cannot be used with Reinforced Armour or Heavy Armour</t>
  </si>
  <si>
    <t>W123</t>
  </si>
  <si>
    <t>Torch</t>
  </si>
  <si>
    <t>Slashing 9 - 11</t>
  </si>
  <si>
    <t>1.1 sec</t>
  </si>
  <si>
    <t>Siege 3 - 4</t>
  </si>
  <si>
    <t>0.4 sec</t>
  </si>
  <si>
    <t>Range 6m</t>
  </si>
  <si>
    <t>W124</t>
  </si>
  <si>
    <t>Trap</t>
  </si>
  <si>
    <t>W125</t>
  </si>
  <si>
    <t>Cleaving 25 - 30</t>
  </si>
  <si>
    <t>Shield durability loss multiplier x20 ; Armour damage multiplayer x7.5</t>
  </si>
  <si>
    <t>W126</t>
  </si>
  <si>
    <t>Defensive Stone</t>
  </si>
  <si>
    <t>Crush 135 - 165</t>
  </si>
  <si>
    <t>0.1 sec</t>
  </si>
  <si>
    <t>Damage to Stability 50% , Range 5m</t>
  </si>
  <si>
    <t>W127</t>
  </si>
  <si>
    <t>Slashing 18-22</t>
  </si>
  <si>
    <t>W128</t>
  </si>
  <si>
    <t>Slashing 13-16</t>
  </si>
  <si>
    <t>W129</t>
  </si>
  <si>
    <t>AI Note, do not include in Discord bot: Movement speed only changes for bows due to how they can be held. Melee weapons have the same movement speed to all times.</t>
  </si>
  <si>
    <t>Damage Type</t>
  </si>
  <si>
    <t>Infantry</t>
  </si>
  <si>
    <t>NPC</t>
  </si>
  <si>
    <t>Mounted Unit</t>
  </si>
  <si>
    <t>Light Structure</t>
  </si>
  <si>
    <t>Heavy Structure</t>
  </si>
  <si>
    <t>Vehicle</t>
  </si>
  <si>
    <t>Slashing</t>
  </si>
  <si>
    <t>Piercing</t>
  </si>
  <si>
    <t>Missile</t>
  </si>
  <si>
    <t>Siege</t>
  </si>
  <si>
    <t>Animal</t>
  </si>
  <si>
    <t>Cleaving</t>
  </si>
  <si>
    <t>Crushing</t>
  </si>
  <si>
    <t>Burning</t>
  </si>
  <si>
    <t>Impaling</t>
  </si>
  <si>
    <t>Very Effective</t>
  </si>
  <si>
    <t>100%+</t>
  </si>
  <si>
    <t>Effective</t>
  </si>
  <si>
    <t>100%</t>
  </si>
  <si>
    <t>Reduced</t>
  </si>
  <si>
    <t>50-99%</t>
  </si>
  <si>
    <t>Very Reduced</t>
  </si>
  <si>
    <t>1-49%</t>
  </si>
  <si>
    <t>No Damage</t>
  </si>
  <si>
    <t>0%</t>
  </si>
  <si>
    <t>Health</t>
  </si>
  <si>
    <t>Seats</t>
  </si>
  <si>
    <t>Sprint Speed</t>
  </si>
  <si>
    <t>Sprint Duration</t>
  </si>
  <si>
    <t>Road Bonus</t>
  </si>
  <si>
    <t>Damage</t>
  </si>
  <si>
    <t>Description</t>
  </si>
  <si>
    <t>V100</t>
  </si>
  <si>
    <t>Battering Ram</t>
  </si>
  <si>
    <t>1.5 m /s</t>
  </si>
  <si>
    <t>7.5 m/s</t>
  </si>
  <si>
    <t>20 Seconds</t>
  </si>
  <si>
    <t>1x</t>
  </si>
  <si>
    <t>150 Siege</t>
  </si>
  <si>
    <t>The Battering Ram is a battering ram used for ramming structures. It requires 4 people to use. The ram must be moving at least 60% of its maximum velocity for its damage to be applied on impact. Any players hit by the ram will be killed instantly regardless of health.</t>
  </si>
  <si>
    <t>V101</t>
  </si>
  <si>
    <t>Caravan</t>
  </si>
  <si>
    <t>4 m/s</t>
  </si>
  <si>
    <t>6 m/s</t>
  </si>
  <si>
    <t>6 Seconds</t>
  </si>
  <si>
    <t>1.2x</t>
  </si>
  <si>
    <t>A Caravan is a horse-drawn vehicle that can be used for transporting avatars, supplies or used to deploy a build site for a Fortress Keep or Large Camp. It has a large inventory which can be used for transporting barreled goods long distances. To deploy a build site from a caravan, use the designated button in the caravan's interaction menu and select the desired structure. This will activate build mode, enabling you to position your selected structure.</t>
  </si>
  <si>
    <t>V102</t>
  </si>
  <si>
    <t>Catapult</t>
  </si>
  <si>
    <t>1.5 m/s</t>
  </si>
  <si>
    <t>45 - 55 Siege</t>
  </si>
  <si>
    <t>The Catapult is a siege vehicle used to fire Catapult Boulder at enemy structures. It requires 4 people to move. It can be operated by 2 players, with one player operating the crank for rearming, while another player operates the lever for firing. Catapult Boulders will deal damage to both structures and vehicles, with players being killed instantly when hit.</t>
  </si>
  <si>
    <t>V103</t>
  </si>
  <si>
    <t>Donkey</t>
  </si>
  <si>
    <t>4.55 m/s</t>
  </si>
  <si>
    <t>6.825 m/s</t>
  </si>
  <si>
    <t>20 Default</t>
  </si>
  <si>
    <t>V104</t>
  </si>
  <si>
    <t>Hand Cart</t>
  </si>
  <si>
    <t>3.75 m/s</t>
  </si>
  <si>
    <t>4.5 m/s</t>
  </si>
  <si>
    <t>1m 40sec</t>
  </si>
  <si>
    <t>Hand Cart is a basic vehicle used for transportation of resources. It's currently the only vehicle that can be used in the underworld to support mining activities.</t>
  </si>
  <si>
    <t>V105</t>
  </si>
  <si>
    <t>Heavy Battering Ram</t>
  </si>
  <si>
    <t>0.75 m/s</t>
  </si>
  <si>
    <t>20 seconds</t>
  </si>
  <si>
    <t>75 Siege</t>
  </si>
  <si>
    <t>The Heavy Battering Ram is a battering ram used for ramming structures. It requires 6 people to move with 4 of the vehicles operators being protected by the roof from arrow fire. Players inside the ram can still be melee attacked.</t>
  </si>
  <si>
    <t>V106</t>
  </si>
  <si>
    <t>Horse</t>
  </si>
  <si>
    <t>4.4 m/s</t>
  </si>
  <si>
    <t>8.8 m/s</t>
  </si>
  <si>
    <t>1.3x</t>
  </si>
  <si>
    <t>20 Slashing</t>
  </si>
  <si>
    <t>V107</t>
  </si>
  <si>
    <t>Resource Wagon</t>
  </si>
  <si>
    <t>A Resource Wagon is a horse-drawn vehicle that can be used for transporting various resources. The wagon itself has two seats for passengers.</t>
  </si>
  <si>
    <t>V108</t>
  </si>
  <si>
    <t>Scorpion</t>
  </si>
  <si>
    <t>216 - 264 Piercing</t>
  </si>
  <si>
    <t>The Scorpion is a defensive anti-infantry siege weapon that can be deployed on foundations.</t>
  </si>
  <si>
    <t>V109</t>
  </si>
  <si>
    <t>Siege Ladder</t>
  </si>
  <si>
    <t>3 m/s</t>
  </si>
  <si>
    <t>In order to move and turn both players must work together either pushing forward or backwards. In order to turn left or right both players invert push direction from the other side. The ladder can rotate on the spot, or translate left and right if both players share left and right inputs.</t>
  </si>
  <si>
    <t>V110</t>
  </si>
  <si>
    <t>Siege Tower</t>
  </si>
  <si>
    <t>0.5 m&amp;s</t>
  </si>
  <si>
    <t>2.5 m/s</t>
  </si>
  <si>
    <t>The Siege Tower is a siege vehicle used to protect attackers as they approach and scale walls during an assault. It requires 8 people to move.</t>
  </si>
  <si>
    <t>V111</t>
  </si>
  <si>
    <t>Small Boat</t>
  </si>
  <si>
    <t>1.75 m/s</t>
  </si>
  <si>
    <t>The Small Boat is a water vehicle that can hold up to 3 people.</t>
  </si>
  <si>
    <t>V112</t>
  </si>
  <si>
    <t>Cargo Ship</t>
  </si>
  <si>
    <t>Cargo Ship is a boat variant built at a Shipyard that can be used to move larger numbers of people, items, and up to 2 from a small list of vehicles across waterways. Players can stand, eat and walk around on the deck while the ship is moving. It can be docked with a Shipdock for repairs and storage.</t>
  </si>
  <si>
    <t>V113</t>
  </si>
  <si>
    <t>Makeshift Battering Ram</t>
  </si>
  <si>
    <t>7 m/s</t>
  </si>
  <si>
    <t>The Makeshift Battering Ram is a light battering ram used for ramming structures. It can be built only after 3 Hours into an age. It requires 4 people to use. The ram must be moving at least 60% of its maximum velocity for its damage to be applied on impact. Any players hit by the ram will be killed instantly regardless of health.</t>
  </si>
  <si>
    <t>S100</t>
  </si>
  <si>
    <t>Anvil</t>
  </si>
  <si>
    <t>S101</t>
  </si>
  <si>
    <t>Aqueduct Parts</t>
  </si>
  <si>
    <t>S102</t>
  </si>
  <si>
    <t>Aqueduct Pump</t>
  </si>
  <si>
    <t>S103</t>
  </si>
  <si>
    <t>Armour Rack</t>
  </si>
  <si>
    <t>S104</t>
  </si>
  <si>
    <t>Banquet Table</t>
  </si>
  <si>
    <t>S105</t>
  </si>
  <si>
    <t>Beacon Tower</t>
  </si>
  <si>
    <t>S106</t>
  </si>
  <si>
    <t>Bear Den</t>
  </si>
  <si>
    <t>S107</t>
  </si>
  <si>
    <t>Bellow</t>
  </si>
  <si>
    <t>S108</t>
  </si>
  <si>
    <t>Camp Gate</t>
  </si>
  <si>
    <t>S109</t>
  </si>
  <si>
    <t>Camp Palisade</t>
  </si>
  <si>
    <t>S110</t>
  </si>
  <si>
    <t>Canal</t>
  </si>
  <si>
    <t>S111</t>
  </si>
  <si>
    <t>Canal Storage</t>
  </si>
  <si>
    <t>S112</t>
  </si>
  <si>
    <t>Cave</t>
  </si>
  <si>
    <t>S113</t>
  </si>
  <si>
    <t>Deep Well</t>
  </si>
  <si>
    <t>S114</t>
  </si>
  <si>
    <t>Dirt Path</t>
  </si>
  <si>
    <t>S115</t>
  </si>
  <si>
    <t>Drying Rack</t>
  </si>
  <si>
    <t>S116</t>
  </si>
  <si>
    <t>Farm Fence</t>
  </si>
  <si>
    <t>S117</t>
  </si>
  <si>
    <t>Farm Gate</t>
  </si>
  <si>
    <t>S118</t>
  </si>
  <si>
    <t>Farm House</t>
  </si>
  <si>
    <t>S119</t>
  </si>
  <si>
    <t>Firepit</t>
  </si>
  <si>
    <t>S120</t>
  </si>
  <si>
    <t>Food Trough</t>
  </si>
  <si>
    <t>S121</t>
  </si>
  <si>
    <t>Forge</t>
  </si>
  <si>
    <t>S122</t>
  </si>
  <si>
    <t>Fortress Keep T1</t>
  </si>
  <si>
    <t>S123</t>
  </si>
  <si>
    <t>Fortress Keep T2</t>
  </si>
  <si>
    <t>S124</t>
  </si>
  <si>
    <t>Fortress Keep T3</t>
  </si>
  <si>
    <t>S125</t>
  </si>
  <si>
    <t>Furnace</t>
  </si>
  <si>
    <t>S126</t>
  </si>
  <si>
    <t>Gate (Homestead)</t>
  </si>
  <si>
    <t>S127</t>
  </si>
  <si>
    <t>Grain Mill</t>
  </si>
  <si>
    <t>S128</t>
  </si>
  <si>
    <t>Hearth</t>
  </si>
  <si>
    <t>S129</t>
  </si>
  <si>
    <t>Heating Vat</t>
  </si>
  <si>
    <t>S130</t>
  </si>
  <si>
    <t>Hen House</t>
  </si>
  <si>
    <t>S131</t>
  </si>
  <si>
    <t>Homestead Keystone T1</t>
  </si>
  <si>
    <t>S132</t>
  </si>
  <si>
    <t>Homestead Keystone T2</t>
  </si>
  <si>
    <t>S133</t>
  </si>
  <si>
    <t>Homestead Keystone T3</t>
  </si>
  <si>
    <t>S134</t>
  </si>
  <si>
    <t>Homestead Parts T1</t>
  </si>
  <si>
    <t>S135</t>
  </si>
  <si>
    <t>Homestead Parts T2</t>
  </si>
  <si>
    <t>S136</t>
  </si>
  <si>
    <t>Keep Parts</t>
  </si>
  <si>
    <t>S137</t>
  </si>
  <si>
    <t>Large Camp</t>
  </si>
  <si>
    <t>S138</t>
  </si>
  <si>
    <t>Liquid Barrel</t>
  </si>
  <si>
    <t>S139</t>
  </si>
  <si>
    <t>Makeshiftwall</t>
  </si>
  <si>
    <t>S140</t>
  </si>
  <si>
    <t>Malachite Mine</t>
  </si>
  <si>
    <t>S141</t>
  </si>
  <si>
    <t>Meat Rack</t>
  </si>
  <si>
    <t>S142</t>
  </si>
  <si>
    <t>Mining Platform</t>
  </si>
  <si>
    <t>S143</t>
  </si>
  <si>
    <t>Mining Stairs</t>
  </si>
  <si>
    <t>S144</t>
  </si>
  <si>
    <t>Oven</t>
  </si>
  <si>
    <t>S145</t>
  </si>
  <si>
    <t>Pantry</t>
  </si>
  <si>
    <t>S146</t>
  </si>
  <si>
    <t>Power Connection Gear</t>
  </si>
  <si>
    <t>S147</t>
  </si>
  <si>
    <t>Power Connection Rope</t>
  </si>
  <si>
    <t>S148</t>
  </si>
  <si>
    <t>Power Mill</t>
  </si>
  <si>
    <t>S149</t>
  </si>
  <si>
    <t>Powered Handcrank Adapter</t>
  </si>
  <si>
    <t>S150</t>
  </si>
  <si>
    <t>Powered Saw Mill</t>
  </si>
  <si>
    <t>S151</t>
  </si>
  <si>
    <t>Quenching Station</t>
  </si>
  <si>
    <t>S152</t>
  </si>
  <si>
    <t>Reaver Camp</t>
  </si>
  <si>
    <t>S153</t>
  </si>
  <si>
    <t>Reaver Fort</t>
  </si>
  <si>
    <t>S154</t>
  </si>
  <si>
    <t>Repair Bench</t>
  </si>
  <si>
    <t>S155</t>
  </si>
  <si>
    <t>Sawbuck</t>
  </si>
  <si>
    <t>S156</t>
  </si>
  <si>
    <t>Shallow Well</t>
  </si>
  <si>
    <t>S157</t>
  </si>
  <si>
    <t>Sign Post</t>
  </si>
  <si>
    <t>S158</t>
  </si>
  <si>
    <t>Smashing Plate</t>
  </si>
  <si>
    <t>S159</t>
  </si>
  <si>
    <t>Stable</t>
  </si>
  <si>
    <t>S160</t>
  </si>
  <si>
    <t>Stamp Mill</t>
  </si>
  <si>
    <t>S161</t>
  </si>
  <si>
    <t>Standing Torch</t>
  </si>
  <si>
    <t>S162</t>
  </si>
  <si>
    <t>Stockade</t>
  </si>
  <si>
    <t>S163</t>
  </si>
  <si>
    <t>Stone Anvil</t>
  </si>
  <si>
    <t>S164</t>
  </si>
  <si>
    <t>Storage Chest</t>
  </si>
  <si>
    <t>S165</t>
  </si>
  <si>
    <t>Tavern</t>
  </si>
  <si>
    <t>S166</t>
  </si>
  <si>
    <t>Temple</t>
  </si>
  <si>
    <t>S167</t>
  </si>
  <si>
    <t>Tent</t>
  </si>
  <si>
    <t>S168</t>
  </si>
  <si>
    <t>Tilled Field</t>
  </si>
  <si>
    <t>S169</t>
  </si>
  <si>
    <t>Tower</t>
  </si>
  <si>
    <t>S170</t>
  </si>
  <si>
    <t>Town Crafting Area</t>
  </si>
  <si>
    <t>S171</t>
  </si>
  <si>
    <t>Town Marketplace</t>
  </si>
  <si>
    <t>S172</t>
  </si>
  <si>
    <t>Town Workshop</t>
  </si>
  <si>
    <t>S173</t>
  </si>
  <si>
    <t>Trip Hammer</t>
  </si>
  <si>
    <t>S174</t>
  </si>
  <si>
    <t>Water Wheel</t>
  </si>
  <si>
    <t>S175</t>
  </si>
  <si>
    <t>Weapon Stockpile</t>
  </si>
  <si>
    <t>S176</t>
  </si>
  <si>
    <t>Wind Mill</t>
  </si>
  <si>
    <t>Behaivour</t>
  </si>
  <si>
    <t>Harvest Hits</t>
  </si>
  <si>
    <t>Extras</t>
  </si>
  <si>
    <t>Health Regen</t>
  </si>
  <si>
    <t>N100</t>
  </si>
  <si>
    <t>Bat</t>
  </si>
  <si>
    <t>Aggressive</t>
  </si>
  <si>
    <t>3 per sec , 10min delay</t>
  </si>
  <si>
    <t>N101</t>
  </si>
  <si>
    <t>Bear</t>
  </si>
  <si>
    <t>10 per sec, 10min delay</t>
  </si>
  <si>
    <t>N102</t>
  </si>
  <si>
    <t>Boar</t>
  </si>
  <si>
    <t>N103</t>
  </si>
  <si>
    <t>Chicken</t>
  </si>
  <si>
    <t>Passive</t>
  </si>
  <si>
    <t>N104</t>
  </si>
  <si>
    <t>Deer</t>
  </si>
  <si>
    <t>N105</t>
  </si>
  <si>
    <t>Dire Raven</t>
  </si>
  <si>
    <t>N106</t>
  </si>
  <si>
    <t>Donkey Foal</t>
  </si>
  <si>
    <t>N107</t>
  </si>
  <si>
    <t>Horse Foal</t>
  </si>
  <si>
    <t>N108</t>
  </si>
  <si>
    <t>Manadyr</t>
  </si>
  <si>
    <t>30 - 75</t>
  </si>
  <si>
    <t>Also deals Missle damage, Stun and Stability damage. Ranged and Melee attacks</t>
  </si>
  <si>
    <t>3 per sec, 10min delay</t>
  </si>
  <si>
    <t>N109</t>
  </si>
  <si>
    <t>Rabbit</t>
  </si>
  <si>
    <t>N110</t>
  </si>
  <si>
    <t>Reaver Bandit</t>
  </si>
  <si>
    <t>Does Slash damage</t>
  </si>
  <si>
    <t>N111</t>
  </si>
  <si>
    <t>Reaver Highwayman (Melee)</t>
  </si>
  <si>
    <t>N112</t>
  </si>
  <si>
    <t>Reaver Highwayman (Ranged)</t>
  </si>
  <si>
    <t>15 - 30</t>
  </si>
  <si>
    <t>Does Missile damage, also Stun damage</t>
  </si>
  <si>
    <t>N113</t>
  </si>
  <si>
    <t>Stonwulfe</t>
  </si>
  <si>
    <t>Also deals Stund damage</t>
  </si>
  <si>
    <t>N114</t>
  </si>
  <si>
    <t>N115</t>
  </si>
  <si>
    <t>Wolf (Cave)</t>
  </si>
  <si>
    <t>Amount</t>
  </si>
  <si>
    <t>Numbers</t>
  </si>
  <si>
    <t>P001</t>
  </si>
  <si>
    <t>No001</t>
  </si>
  <si>
    <t>Ef100</t>
  </si>
  <si>
    <t>P002</t>
  </si>
  <si>
    <t>No002</t>
  </si>
  <si>
    <t>Ef101</t>
  </si>
  <si>
    <t>P003</t>
  </si>
  <si>
    <t>No003</t>
  </si>
  <si>
    <t>Ef102</t>
  </si>
  <si>
    <t>P004</t>
  </si>
  <si>
    <t>No004</t>
  </si>
  <si>
    <t>Ef103</t>
  </si>
  <si>
    <t>P005</t>
  </si>
  <si>
    <t>No005</t>
  </si>
  <si>
    <t>Ef104</t>
  </si>
  <si>
    <t>P006</t>
  </si>
  <si>
    <t>No006</t>
  </si>
  <si>
    <t>P007</t>
  </si>
  <si>
    <t>No007</t>
  </si>
  <si>
    <t>P008</t>
  </si>
  <si>
    <t>No008</t>
  </si>
  <si>
    <t>P009</t>
  </si>
  <si>
    <t>No009</t>
  </si>
  <si>
    <t>P010</t>
  </si>
  <si>
    <t>No010</t>
  </si>
  <si>
    <t>P011</t>
  </si>
  <si>
    <t>No011</t>
  </si>
  <si>
    <t>P012</t>
  </si>
  <si>
    <t>No012</t>
  </si>
  <si>
    <t>P013</t>
  </si>
  <si>
    <t>No013</t>
  </si>
  <si>
    <t>P014</t>
  </si>
  <si>
    <t>No014</t>
  </si>
  <si>
    <t>P015</t>
  </si>
  <si>
    <t>No015</t>
  </si>
  <si>
    <t>P016</t>
  </si>
  <si>
    <t>No016</t>
  </si>
  <si>
    <t>P017</t>
  </si>
  <si>
    <t>No017</t>
  </si>
  <si>
    <t>P018</t>
  </si>
  <si>
    <t>No018</t>
  </si>
  <si>
    <t>P019</t>
  </si>
  <si>
    <t>No019</t>
  </si>
  <si>
    <t>P020</t>
  </si>
  <si>
    <t>No020</t>
  </si>
  <si>
    <t>P021</t>
  </si>
  <si>
    <t>No021</t>
  </si>
  <si>
    <t>P022</t>
  </si>
  <si>
    <t>No022</t>
  </si>
  <si>
    <t>P023</t>
  </si>
  <si>
    <t>No023</t>
  </si>
  <si>
    <t>P024</t>
  </si>
  <si>
    <t>No024</t>
  </si>
  <si>
    <t>P025</t>
  </si>
  <si>
    <t>No025</t>
  </si>
  <si>
    <t>P026</t>
  </si>
  <si>
    <t>No026</t>
  </si>
  <si>
    <t>P027</t>
  </si>
  <si>
    <t>No027</t>
  </si>
  <si>
    <t>P028</t>
  </si>
  <si>
    <t>No028</t>
  </si>
  <si>
    <t>P029</t>
  </si>
  <si>
    <t>No029</t>
  </si>
  <si>
    <t>P030</t>
  </si>
  <si>
    <t>No030</t>
  </si>
  <si>
    <t>P031</t>
  </si>
  <si>
    <t>No031</t>
  </si>
  <si>
    <t>P032</t>
  </si>
  <si>
    <t>No032</t>
  </si>
  <si>
    <t>P033</t>
  </si>
  <si>
    <t>No033</t>
  </si>
  <si>
    <t>P034</t>
  </si>
  <si>
    <t>No034</t>
  </si>
  <si>
    <t>P035</t>
  </si>
  <si>
    <t>No035</t>
  </si>
  <si>
    <t>P036</t>
  </si>
  <si>
    <t>No036</t>
  </si>
  <si>
    <t>P037</t>
  </si>
  <si>
    <t>No037</t>
  </si>
  <si>
    <t>P038</t>
  </si>
  <si>
    <t>No038</t>
  </si>
  <si>
    <t>P039</t>
  </si>
  <si>
    <t>No039</t>
  </si>
  <si>
    <t>P040</t>
  </si>
  <si>
    <t>No040</t>
  </si>
  <si>
    <t>P041</t>
  </si>
  <si>
    <t>No041</t>
  </si>
  <si>
    <t>P042</t>
  </si>
  <si>
    <t>No042</t>
  </si>
  <si>
    <t>P043</t>
  </si>
  <si>
    <t>No043</t>
  </si>
  <si>
    <t>P044</t>
  </si>
  <si>
    <t>No044</t>
  </si>
  <si>
    <t>P045</t>
  </si>
  <si>
    <t>No045</t>
  </si>
  <si>
    <t>P046</t>
  </si>
  <si>
    <t>No046</t>
  </si>
  <si>
    <t>P047</t>
  </si>
  <si>
    <t>No047</t>
  </si>
  <si>
    <t>P048</t>
  </si>
  <si>
    <t>No048</t>
  </si>
  <si>
    <t>P049</t>
  </si>
  <si>
    <t>No049</t>
  </si>
  <si>
    <t>P050</t>
  </si>
  <si>
    <t>No050</t>
  </si>
  <si>
    <t>P051</t>
  </si>
  <si>
    <t>No051</t>
  </si>
  <si>
    <t>P052</t>
  </si>
  <si>
    <t>No052</t>
  </si>
  <si>
    <t>P053</t>
  </si>
  <si>
    <t>No053</t>
  </si>
  <si>
    <t>P054</t>
  </si>
  <si>
    <t>No054</t>
  </si>
  <si>
    <t>P055</t>
  </si>
  <si>
    <t>No055</t>
  </si>
  <si>
    <t>P056</t>
  </si>
  <si>
    <t>No056</t>
  </si>
  <si>
    <t>P057</t>
  </si>
  <si>
    <t>No057</t>
  </si>
  <si>
    <t>P058</t>
  </si>
  <si>
    <t>No058</t>
  </si>
  <si>
    <t>P059</t>
  </si>
  <si>
    <t>No059</t>
  </si>
  <si>
    <t>P060</t>
  </si>
  <si>
    <t>No060</t>
  </si>
  <si>
    <t>P061</t>
  </si>
  <si>
    <t>No061</t>
  </si>
  <si>
    <t>P062</t>
  </si>
  <si>
    <t>No062</t>
  </si>
  <si>
    <t>P063</t>
  </si>
  <si>
    <t>No063</t>
  </si>
  <si>
    <t>P064</t>
  </si>
  <si>
    <t>No064</t>
  </si>
  <si>
    <t>P065</t>
  </si>
  <si>
    <t>No065</t>
  </si>
  <si>
    <t>P066</t>
  </si>
  <si>
    <t>No066</t>
  </si>
  <si>
    <t>P067</t>
  </si>
  <si>
    <t>No067</t>
  </si>
  <si>
    <t>P068</t>
  </si>
  <si>
    <t>No068</t>
  </si>
  <si>
    <t>P069</t>
  </si>
  <si>
    <t>No069</t>
  </si>
  <si>
    <t>P070</t>
  </si>
  <si>
    <t>No070</t>
  </si>
  <si>
    <t>P071</t>
  </si>
  <si>
    <t>No071</t>
  </si>
  <si>
    <t>P072</t>
  </si>
  <si>
    <t>No072</t>
  </si>
  <si>
    <t>P073</t>
  </si>
  <si>
    <t>No073</t>
  </si>
  <si>
    <t>P074</t>
  </si>
  <si>
    <t>No074</t>
  </si>
  <si>
    <t>P075</t>
  </si>
  <si>
    <t>No075</t>
  </si>
  <si>
    <t>P076</t>
  </si>
  <si>
    <t>No076</t>
  </si>
  <si>
    <t>P077</t>
  </si>
  <si>
    <t>No077</t>
  </si>
  <si>
    <t>P078</t>
  </si>
  <si>
    <t>No078</t>
  </si>
  <si>
    <t>P079</t>
  </si>
  <si>
    <t>No079</t>
  </si>
  <si>
    <t>P080</t>
  </si>
  <si>
    <t>No080</t>
  </si>
  <si>
    <t>P081</t>
  </si>
  <si>
    <t>No081</t>
  </si>
  <si>
    <t>P082</t>
  </si>
  <si>
    <t>No082</t>
  </si>
  <si>
    <t>P083</t>
  </si>
  <si>
    <t>No083</t>
  </si>
  <si>
    <t>P084</t>
  </si>
  <si>
    <t>No084</t>
  </si>
  <si>
    <t>P085</t>
  </si>
  <si>
    <t>No085</t>
  </si>
  <si>
    <t>P086</t>
  </si>
  <si>
    <t>No086</t>
  </si>
  <si>
    <t>P087</t>
  </si>
  <si>
    <t>No087</t>
  </si>
  <si>
    <t>P088</t>
  </si>
  <si>
    <t>No088</t>
  </si>
  <si>
    <t>P089</t>
  </si>
  <si>
    <t>No089</t>
  </si>
  <si>
    <t>P090</t>
  </si>
  <si>
    <t>No090</t>
  </si>
  <si>
    <t>P091</t>
  </si>
  <si>
    <t>No091</t>
  </si>
  <si>
    <t>P092</t>
  </si>
  <si>
    <t>No092</t>
  </si>
  <si>
    <t>P093</t>
  </si>
  <si>
    <t>No093</t>
  </si>
  <si>
    <t>P094</t>
  </si>
  <si>
    <t>No094</t>
  </si>
  <si>
    <t>P095</t>
  </si>
  <si>
    <t>No095</t>
  </si>
  <si>
    <t>P096</t>
  </si>
  <si>
    <t>No096</t>
  </si>
  <si>
    <t>P097</t>
  </si>
  <si>
    <t>No097</t>
  </si>
  <si>
    <t>P098</t>
  </si>
  <si>
    <t>No098</t>
  </si>
  <si>
    <t>P099</t>
  </si>
  <si>
    <t>No099</t>
  </si>
  <si>
    <t>P100</t>
  </si>
  <si>
    <t>No100</t>
  </si>
  <si>
    <t>No101</t>
  </si>
  <si>
    <t>No102</t>
  </si>
  <si>
    <t>No103</t>
  </si>
  <si>
    <t>No104</t>
  </si>
  <si>
    <t>No105</t>
  </si>
  <si>
    <t>No106</t>
  </si>
  <si>
    <t>No107</t>
  </si>
  <si>
    <t>No108</t>
  </si>
  <si>
    <t>No109</t>
  </si>
  <si>
    <t>No110</t>
  </si>
  <si>
    <t>No111</t>
  </si>
  <si>
    <t>No112</t>
  </si>
  <si>
    <t>No113</t>
  </si>
  <si>
    <t>No114</t>
  </si>
  <si>
    <t>No115</t>
  </si>
  <si>
    <t>No116</t>
  </si>
  <si>
    <t>No117</t>
  </si>
  <si>
    <t>No118</t>
  </si>
  <si>
    <t>No119</t>
  </si>
  <si>
    <t>No120</t>
  </si>
  <si>
    <t>No121</t>
  </si>
  <si>
    <t>No122</t>
  </si>
  <si>
    <t>No123</t>
  </si>
  <si>
    <t>No124</t>
  </si>
  <si>
    <t>No125</t>
  </si>
  <si>
    <t>No126</t>
  </si>
  <si>
    <t>No127</t>
  </si>
  <si>
    <t>No128</t>
  </si>
  <si>
    <t>No129</t>
  </si>
  <si>
    <t>No130</t>
  </si>
  <si>
    <t>No131</t>
  </si>
  <si>
    <t>No132</t>
  </si>
  <si>
    <t>No133</t>
  </si>
  <si>
    <t>No134</t>
  </si>
  <si>
    <t>No135</t>
  </si>
  <si>
    <t>No136</t>
  </si>
  <si>
    <t>No137</t>
  </si>
  <si>
    <t>No138</t>
  </si>
  <si>
    <t>No139</t>
  </si>
  <si>
    <t>No140</t>
  </si>
  <si>
    <t>No141</t>
  </si>
  <si>
    <t>No142</t>
  </si>
  <si>
    <t>No143</t>
  </si>
  <si>
    <t>No144</t>
  </si>
  <si>
    <t>No145</t>
  </si>
  <si>
    <t>No146</t>
  </si>
  <si>
    <t>No147</t>
  </si>
  <si>
    <t>No148</t>
  </si>
  <si>
    <t>No149</t>
  </si>
  <si>
    <t>No150</t>
  </si>
  <si>
    <t>No151</t>
  </si>
  <si>
    <t>No152</t>
  </si>
  <si>
    <t>No153</t>
  </si>
  <si>
    <t>No154</t>
  </si>
  <si>
    <t>No155</t>
  </si>
  <si>
    <t>No156</t>
  </si>
  <si>
    <t>No157</t>
  </si>
  <si>
    <t>No158</t>
  </si>
  <si>
    <t>No159</t>
  </si>
  <si>
    <t>No160</t>
  </si>
  <si>
    <t>No161</t>
  </si>
  <si>
    <t>No162</t>
  </si>
  <si>
    <t>No163</t>
  </si>
  <si>
    <t>No164</t>
  </si>
  <si>
    <t>No165</t>
  </si>
  <si>
    <t>No166</t>
  </si>
  <si>
    <t>No167</t>
  </si>
  <si>
    <t>No168</t>
  </si>
  <si>
    <t>No169</t>
  </si>
  <si>
    <t>No170</t>
  </si>
  <si>
    <t>No171</t>
  </si>
  <si>
    <t>No172</t>
  </si>
  <si>
    <t>No173</t>
  </si>
  <si>
    <t>No174</t>
  </si>
  <si>
    <t>No175</t>
  </si>
  <si>
    <t>No176</t>
  </si>
  <si>
    <t>No177</t>
  </si>
  <si>
    <t>No178</t>
  </si>
  <si>
    <t>No179</t>
  </si>
  <si>
    <t>No180</t>
  </si>
  <si>
    <t>No181</t>
  </si>
  <si>
    <t>No182</t>
  </si>
  <si>
    <t>No183</t>
  </si>
  <si>
    <t>No184</t>
  </si>
  <si>
    <t>No185</t>
  </si>
  <si>
    <t>No186</t>
  </si>
  <si>
    <t>No187</t>
  </si>
  <si>
    <t>No188</t>
  </si>
  <si>
    <t>No189</t>
  </si>
  <si>
    <t>No190</t>
  </si>
  <si>
    <t>No191</t>
  </si>
  <si>
    <t>No192</t>
  </si>
  <si>
    <t>No193</t>
  </si>
  <si>
    <t>No194</t>
  </si>
  <si>
    <t>No195</t>
  </si>
  <si>
    <t>No196</t>
  </si>
  <si>
    <t>No197</t>
  </si>
  <si>
    <t>No198</t>
  </si>
  <si>
    <t>No199</t>
  </si>
  <si>
    <t>No200</t>
  </si>
  <si>
    <t>No201</t>
  </si>
  <si>
    <t>No202</t>
  </si>
  <si>
    <t>No203</t>
  </si>
  <si>
    <t>No204</t>
  </si>
  <si>
    <t>No205</t>
  </si>
  <si>
    <t>No206</t>
  </si>
  <si>
    <t>No207</t>
  </si>
  <si>
    <t>No208</t>
  </si>
  <si>
    <t>No209</t>
  </si>
  <si>
    <t>No210</t>
  </si>
  <si>
    <t>No211</t>
  </si>
  <si>
    <t>No212</t>
  </si>
  <si>
    <t>No213</t>
  </si>
  <si>
    <t>No214</t>
  </si>
  <si>
    <t>No215</t>
  </si>
  <si>
    <t>No216</t>
  </si>
  <si>
    <t>No217</t>
  </si>
  <si>
    <t>No218</t>
  </si>
  <si>
    <t>No219</t>
  </si>
  <si>
    <t>No220</t>
  </si>
  <si>
    <t>No221</t>
  </si>
  <si>
    <t>No222</t>
  </si>
  <si>
    <t>No223</t>
  </si>
  <si>
    <t>No224</t>
  </si>
  <si>
    <t>No225</t>
  </si>
  <si>
    <t>No226</t>
  </si>
  <si>
    <t>No227</t>
  </si>
  <si>
    <t>No228</t>
  </si>
  <si>
    <t>No229</t>
  </si>
  <si>
    <t>No230</t>
  </si>
  <si>
    <t>No231</t>
  </si>
  <si>
    <t>No232</t>
  </si>
  <si>
    <t>No233</t>
  </si>
  <si>
    <t>No234</t>
  </si>
  <si>
    <t>No235</t>
  </si>
  <si>
    <t>No236</t>
  </si>
  <si>
    <t>No237</t>
  </si>
  <si>
    <t>No238</t>
  </si>
  <si>
    <t>No239</t>
  </si>
  <si>
    <t>No240</t>
  </si>
  <si>
    <t>No241</t>
  </si>
  <si>
    <t>No242</t>
  </si>
  <si>
    <t>No243</t>
  </si>
  <si>
    <t>No244</t>
  </si>
  <si>
    <t>No245</t>
  </si>
  <si>
    <t>No246</t>
  </si>
  <si>
    <t>No247</t>
  </si>
  <si>
    <t>No248</t>
  </si>
  <si>
    <t>No249</t>
  </si>
  <si>
    <t>No250</t>
  </si>
  <si>
    <t>No251</t>
  </si>
  <si>
    <t>No252</t>
  </si>
  <si>
    <t>No253</t>
  </si>
  <si>
    <t>No254</t>
  </si>
  <si>
    <t>No255</t>
  </si>
  <si>
    <t>No256</t>
  </si>
  <si>
    <t>No257</t>
  </si>
  <si>
    <t>No258</t>
  </si>
  <si>
    <t>No259</t>
  </si>
  <si>
    <t>No260</t>
  </si>
  <si>
    <t>No261</t>
  </si>
  <si>
    <t>No262</t>
  </si>
  <si>
    <t>No263</t>
  </si>
  <si>
    <t>No264</t>
  </si>
  <si>
    <t>No265</t>
  </si>
  <si>
    <t>No266</t>
  </si>
  <si>
    <t>No267</t>
  </si>
  <si>
    <t>No268</t>
  </si>
  <si>
    <t>No269</t>
  </si>
  <si>
    <t>No270</t>
  </si>
  <si>
    <t>No271</t>
  </si>
  <si>
    <t>No272</t>
  </si>
  <si>
    <t>No273</t>
  </si>
  <si>
    <t>No274</t>
  </si>
  <si>
    <t>No275</t>
  </si>
  <si>
    <t>No276</t>
  </si>
  <si>
    <t>No277</t>
  </si>
  <si>
    <t>No278</t>
  </si>
  <si>
    <t>No279</t>
  </si>
  <si>
    <t>No280</t>
  </si>
  <si>
    <t>No281</t>
  </si>
  <si>
    <t>No282</t>
  </si>
  <si>
    <t>No283</t>
  </si>
  <si>
    <t>No284</t>
  </si>
  <si>
    <t>No285</t>
  </si>
  <si>
    <t>No286</t>
  </si>
  <si>
    <t>No287</t>
  </si>
  <si>
    <t>No288</t>
  </si>
  <si>
    <t>No289</t>
  </si>
  <si>
    <t>No290</t>
  </si>
  <si>
    <t>No291</t>
  </si>
  <si>
    <t>No292</t>
  </si>
  <si>
    <t>No293</t>
  </si>
  <si>
    <t>No294</t>
  </si>
  <si>
    <t>No295</t>
  </si>
  <si>
    <t>No296</t>
  </si>
  <si>
    <t>No297</t>
  </si>
  <si>
    <t>No298</t>
  </si>
  <si>
    <t>No299</t>
  </si>
  <si>
    <t>No300</t>
  </si>
  <si>
    <t>No301</t>
  </si>
  <si>
    <t>No302</t>
  </si>
  <si>
    <t>No303</t>
  </si>
  <si>
    <t>No304</t>
  </si>
  <si>
    <t>No305</t>
  </si>
  <si>
    <t>No306</t>
  </si>
  <si>
    <t>No307</t>
  </si>
  <si>
    <t>No308</t>
  </si>
  <si>
    <t>No309</t>
  </si>
  <si>
    <t>No310</t>
  </si>
  <si>
    <t>No311</t>
  </si>
  <si>
    <t>No312</t>
  </si>
  <si>
    <t>No313</t>
  </si>
  <si>
    <t>No314</t>
  </si>
  <si>
    <t>No315</t>
  </si>
  <si>
    <t>No316</t>
  </si>
  <si>
    <t>No317</t>
  </si>
  <si>
    <t>No318</t>
  </si>
  <si>
    <t>No319</t>
  </si>
  <si>
    <t>No320</t>
  </si>
  <si>
    <t>No321</t>
  </si>
  <si>
    <t>No322</t>
  </si>
  <si>
    <t>No323</t>
  </si>
  <si>
    <t>No324</t>
  </si>
  <si>
    <t>No325</t>
  </si>
  <si>
    <t>No326</t>
  </si>
  <si>
    <t>No327</t>
  </si>
  <si>
    <t>No328</t>
  </si>
  <si>
    <t>No329</t>
  </si>
  <si>
    <t>No330</t>
  </si>
  <si>
    <t>No331</t>
  </si>
  <si>
    <t>No332</t>
  </si>
  <si>
    <t>No333</t>
  </si>
  <si>
    <t>No334</t>
  </si>
  <si>
    <t>No335</t>
  </si>
  <si>
    <t>No336</t>
  </si>
  <si>
    <t>No337</t>
  </si>
  <si>
    <t>No338</t>
  </si>
  <si>
    <t>No339</t>
  </si>
  <si>
    <t>No340</t>
  </si>
  <si>
    <t>No341</t>
  </si>
  <si>
    <t>No342</t>
  </si>
  <si>
    <t>No343</t>
  </si>
  <si>
    <t>No344</t>
  </si>
  <si>
    <t>No345</t>
  </si>
  <si>
    <t>No346</t>
  </si>
  <si>
    <t>No347</t>
  </si>
  <si>
    <t>No348</t>
  </si>
  <si>
    <t>No349</t>
  </si>
  <si>
    <t>No350</t>
  </si>
  <si>
    <t>No351</t>
  </si>
  <si>
    <t>No352</t>
  </si>
  <si>
    <t>No353</t>
  </si>
  <si>
    <t>No354</t>
  </si>
  <si>
    <t>No355</t>
  </si>
  <si>
    <t>No356</t>
  </si>
  <si>
    <t>No357</t>
  </si>
  <si>
    <t>No358</t>
  </si>
  <si>
    <t>No359</t>
  </si>
  <si>
    <t>No360</t>
  </si>
  <si>
    <t>No361</t>
  </si>
  <si>
    <t>No362</t>
  </si>
  <si>
    <t>No363</t>
  </si>
  <si>
    <t>No364</t>
  </si>
  <si>
    <t>No365</t>
  </si>
  <si>
    <t>No366</t>
  </si>
  <si>
    <t>No367</t>
  </si>
  <si>
    <t>No368</t>
  </si>
  <si>
    <t>No369</t>
  </si>
  <si>
    <t>No370</t>
  </si>
  <si>
    <t>No371</t>
  </si>
  <si>
    <t>No372</t>
  </si>
  <si>
    <t>No373</t>
  </si>
  <si>
    <t>No374</t>
  </si>
  <si>
    <t>No375</t>
  </si>
  <si>
    <t>No376</t>
  </si>
  <si>
    <t>No377</t>
  </si>
  <si>
    <t>No378</t>
  </si>
  <si>
    <t>No379</t>
  </si>
  <si>
    <t>No380</t>
  </si>
  <si>
    <t>No381</t>
  </si>
  <si>
    <t>No382</t>
  </si>
  <si>
    <t>No383</t>
  </si>
  <si>
    <t>No384</t>
  </si>
  <si>
    <t>No385</t>
  </si>
  <si>
    <t>No386</t>
  </si>
  <si>
    <t>No387</t>
  </si>
  <si>
    <t>No388</t>
  </si>
  <si>
    <t>No389</t>
  </si>
  <si>
    <t>No390</t>
  </si>
  <si>
    <t>No391</t>
  </si>
  <si>
    <t>No392</t>
  </si>
  <si>
    <t>No393</t>
  </si>
  <si>
    <t>No394</t>
  </si>
  <si>
    <t>No395</t>
  </si>
  <si>
    <t>No396</t>
  </si>
  <si>
    <t>No397</t>
  </si>
  <si>
    <t>No398</t>
  </si>
  <si>
    <t>No399</t>
  </si>
  <si>
    <t>No400</t>
  </si>
  <si>
    <t>No401</t>
  </si>
  <si>
    <t>No402</t>
  </si>
  <si>
    <t>No403</t>
  </si>
  <si>
    <t>No404</t>
  </si>
  <si>
    <t>No405</t>
  </si>
  <si>
    <t>No406</t>
  </si>
  <si>
    <t>No407</t>
  </si>
  <si>
    <t>No408</t>
  </si>
  <si>
    <t>No409</t>
  </si>
  <si>
    <t>No410</t>
  </si>
  <si>
    <t>No411</t>
  </si>
  <si>
    <t>No412</t>
  </si>
  <si>
    <t>No413</t>
  </si>
  <si>
    <t>No414</t>
  </si>
  <si>
    <t>No415</t>
  </si>
  <si>
    <t>No416</t>
  </si>
  <si>
    <t>No417</t>
  </si>
  <si>
    <t>No418</t>
  </si>
  <si>
    <t>No419</t>
  </si>
  <si>
    <t>No420</t>
  </si>
  <si>
    <t>No421</t>
  </si>
  <si>
    <t>No422</t>
  </si>
  <si>
    <t>No423</t>
  </si>
  <si>
    <t>No424</t>
  </si>
  <si>
    <t>No425</t>
  </si>
  <si>
    <t>No426</t>
  </si>
  <si>
    <t>No427</t>
  </si>
  <si>
    <t>No428</t>
  </si>
  <si>
    <t>No429</t>
  </si>
  <si>
    <t>No430</t>
  </si>
  <si>
    <t>No431</t>
  </si>
  <si>
    <t>No432</t>
  </si>
  <si>
    <t>No433</t>
  </si>
  <si>
    <t>No434</t>
  </si>
  <si>
    <t>No435</t>
  </si>
  <si>
    <t>No436</t>
  </si>
  <si>
    <t>No437</t>
  </si>
  <si>
    <t>No438</t>
  </si>
  <si>
    <t>No439</t>
  </si>
  <si>
    <t>No440</t>
  </si>
  <si>
    <t>No441</t>
  </si>
  <si>
    <t>No442</t>
  </si>
  <si>
    <t>No443</t>
  </si>
  <si>
    <t>No444</t>
  </si>
  <si>
    <t>No445</t>
  </si>
  <si>
    <t>No446</t>
  </si>
  <si>
    <t>No447</t>
  </si>
  <si>
    <t>No448</t>
  </si>
  <si>
    <t>No449</t>
  </si>
  <si>
    <t>No450</t>
  </si>
  <si>
    <t>No451</t>
  </si>
  <si>
    <t>No452</t>
  </si>
  <si>
    <t>No453</t>
  </si>
  <si>
    <t>No454</t>
  </si>
  <si>
    <t>No455</t>
  </si>
  <si>
    <t>No456</t>
  </si>
  <si>
    <t>No457</t>
  </si>
  <si>
    <t>No458</t>
  </si>
  <si>
    <t>No459</t>
  </si>
  <si>
    <t>No460</t>
  </si>
  <si>
    <t>No461</t>
  </si>
  <si>
    <t>No462</t>
  </si>
  <si>
    <t>No463</t>
  </si>
  <si>
    <t>No464</t>
  </si>
  <si>
    <t>No465</t>
  </si>
  <si>
    <t>No466</t>
  </si>
  <si>
    <t>No467</t>
  </si>
  <si>
    <t>No468</t>
  </si>
  <si>
    <t>No469</t>
  </si>
  <si>
    <t>No470</t>
  </si>
  <si>
    <t>No471</t>
  </si>
  <si>
    <t>No472</t>
  </si>
  <si>
    <t>No473</t>
  </si>
  <si>
    <t>No474</t>
  </si>
  <si>
    <t>No475</t>
  </si>
  <si>
    <t>No476</t>
  </si>
  <si>
    <t>No477</t>
  </si>
  <si>
    <t>No478</t>
  </si>
  <si>
    <t>No479</t>
  </si>
  <si>
    <t>No480</t>
  </si>
  <si>
    <t>No481</t>
  </si>
  <si>
    <t>No482</t>
  </si>
  <si>
    <t>No483</t>
  </si>
  <si>
    <t>No484</t>
  </si>
  <si>
    <t>No485</t>
  </si>
  <si>
    <t>No486</t>
  </si>
  <si>
    <t>No487</t>
  </si>
  <si>
    <t>No488</t>
  </si>
  <si>
    <t>No489</t>
  </si>
  <si>
    <t>No490</t>
  </si>
  <si>
    <t>No491</t>
  </si>
  <si>
    <t>No492</t>
  </si>
  <si>
    <t>No493</t>
  </si>
  <si>
    <t>No494</t>
  </si>
  <si>
    <t>No495</t>
  </si>
  <si>
    <t>No496</t>
  </si>
  <si>
    <t>No497</t>
  </si>
  <si>
    <t>No498</t>
  </si>
  <si>
    <t>No499</t>
  </si>
  <si>
    <t>No500</t>
  </si>
  <si>
    <t>No501</t>
  </si>
  <si>
    <t>No502</t>
  </si>
  <si>
    <t>No503</t>
  </si>
  <si>
    <t>No504</t>
  </si>
  <si>
    <t>No505</t>
  </si>
  <si>
    <t>No506</t>
  </si>
  <si>
    <t>No507</t>
  </si>
  <si>
    <t>No508</t>
  </si>
  <si>
    <t>No509</t>
  </si>
  <si>
    <t>No510</t>
  </si>
  <si>
    <t>No511</t>
  </si>
  <si>
    <t>No512</t>
  </si>
  <si>
    <t>No513</t>
  </si>
  <si>
    <t>No514</t>
  </si>
  <si>
    <t>No515</t>
  </si>
  <si>
    <t>No516</t>
  </si>
  <si>
    <t>No517</t>
  </si>
  <si>
    <t>No518</t>
  </si>
  <si>
    <t>No519</t>
  </si>
  <si>
    <t>No520</t>
  </si>
  <si>
    <t>No521</t>
  </si>
  <si>
    <t>No522</t>
  </si>
  <si>
    <t>No523</t>
  </si>
  <si>
    <t>No524</t>
  </si>
  <si>
    <t>No525</t>
  </si>
  <si>
    <t>No526</t>
  </si>
  <si>
    <t>No527</t>
  </si>
  <si>
    <t>No528</t>
  </si>
  <si>
    <t>No529</t>
  </si>
  <si>
    <t>No530</t>
  </si>
  <si>
    <t>No531</t>
  </si>
  <si>
    <t>No532</t>
  </si>
  <si>
    <t>No533</t>
  </si>
  <si>
    <t>No534</t>
  </si>
  <si>
    <t>No535</t>
  </si>
  <si>
    <t>No536</t>
  </si>
  <si>
    <t>No537</t>
  </si>
  <si>
    <t>No538</t>
  </si>
  <si>
    <t>No539</t>
  </si>
  <si>
    <t>No540</t>
  </si>
  <si>
    <t>No541</t>
  </si>
  <si>
    <t>No542</t>
  </si>
  <si>
    <t>No543</t>
  </si>
  <si>
    <t>No544</t>
  </si>
  <si>
    <t>No545</t>
  </si>
  <si>
    <t>No546</t>
  </si>
  <si>
    <t>No547</t>
  </si>
  <si>
    <t>No548</t>
  </si>
  <si>
    <t>No549</t>
  </si>
  <si>
    <t>No550</t>
  </si>
  <si>
    <t>No551</t>
  </si>
  <si>
    <t>No552</t>
  </si>
  <si>
    <t>No553</t>
  </si>
  <si>
    <t>No554</t>
  </si>
  <si>
    <t>No555</t>
  </si>
  <si>
    <t>No556</t>
  </si>
  <si>
    <t>No557</t>
  </si>
  <si>
    <t>No558</t>
  </si>
  <si>
    <t>No559</t>
  </si>
  <si>
    <t>No560</t>
  </si>
  <si>
    <t>No561</t>
  </si>
  <si>
    <t>No562</t>
  </si>
  <si>
    <t>No563</t>
  </si>
  <si>
    <t>No564</t>
  </si>
  <si>
    <t>No565</t>
  </si>
  <si>
    <t>No566</t>
  </si>
  <si>
    <t>No567</t>
  </si>
  <si>
    <t>No568</t>
  </si>
  <si>
    <t>No569</t>
  </si>
  <si>
    <t>No570</t>
  </si>
  <si>
    <t>No571</t>
  </si>
  <si>
    <t>No572</t>
  </si>
  <si>
    <t>No573</t>
  </si>
  <si>
    <t>No574</t>
  </si>
  <si>
    <t>No575</t>
  </si>
  <si>
    <t>No576</t>
  </si>
  <si>
    <t>No577</t>
  </si>
  <si>
    <t>No578</t>
  </si>
  <si>
    <t>No579</t>
  </si>
  <si>
    <t>No580</t>
  </si>
  <si>
    <t>No581</t>
  </si>
  <si>
    <t>No582</t>
  </si>
  <si>
    <t>No583</t>
  </si>
  <si>
    <t>No584</t>
  </si>
  <si>
    <t>No585</t>
  </si>
  <si>
    <t>No586</t>
  </si>
  <si>
    <t>No587</t>
  </si>
  <si>
    <t>No588</t>
  </si>
  <si>
    <t>No589</t>
  </si>
  <si>
    <t>No590</t>
  </si>
  <si>
    <t>No591</t>
  </si>
  <si>
    <t>No592</t>
  </si>
  <si>
    <t>No593</t>
  </si>
  <si>
    <t>No594</t>
  </si>
  <si>
    <t>No595</t>
  </si>
  <si>
    <t>No596</t>
  </si>
  <si>
    <t>No597</t>
  </si>
  <si>
    <t>No598</t>
  </si>
  <si>
    <t>No599</t>
  </si>
  <si>
    <t>No600</t>
  </si>
  <si>
    <t>No601</t>
  </si>
  <si>
    <t>No602</t>
  </si>
  <si>
    <t>No603</t>
  </si>
  <si>
    <t>No604</t>
  </si>
  <si>
    <t>No605</t>
  </si>
  <si>
    <t>No606</t>
  </si>
  <si>
    <t>No607</t>
  </si>
  <si>
    <t>No608</t>
  </si>
  <si>
    <t>No609</t>
  </si>
  <si>
    <t>No610</t>
  </si>
  <si>
    <t>No611</t>
  </si>
  <si>
    <t>No612</t>
  </si>
  <si>
    <t>No613</t>
  </si>
  <si>
    <t>No614</t>
  </si>
  <si>
    <t>No615</t>
  </si>
  <si>
    <t>No616</t>
  </si>
  <si>
    <t>No617</t>
  </si>
  <si>
    <t>No618</t>
  </si>
  <si>
    <t>No619</t>
  </si>
  <si>
    <t>No620</t>
  </si>
  <si>
    <t>No621</t>
  </si>
  <si>
    <t>No622</t>
  </si>
  <si>
    <t>No623</t>
  </si>
  <si>
    <t>No624</t>
  </si>
  <si>
    <t>No625</t>
  </si>
  <si>
    <t>No626</t>
  </si>
  <si>
    <t>No627</t>
  </si>
  <si>
    <t>No628</t>
  </si>
  <si>
    <t>No629</t>
  </si>
  <si>
    <t>No630</t>
  </si>
  <si>
    <t>No631</t>
  </si>
  <si>
    <t>No632</t>
  </si>
  <si>
    <t>No633</t>
  </si>
  <si>
    <t>No634</t>
  </si>
  <si>
    <t>No635</t>
  </si>
  <si>
    <t>No636</t>
  </si>
  <si>
    <t>No637</t>
  </si>
  <si>
    <t>No638</t>
  </si>
  <si>
    <t>No639</t>
  </si>
  <si>
    <t>No640</t>
  </si>
  <si>
    <t>No641</t>
  </si>
  <si>
    <t>No642</t>
  </si>
  <si>
    <t>No643</t>
  </si>
  <si>
    <t>No644</t>
  </si>
  <si>
    <t>No645</t>
  </si>
  <si>
    <t>No646</t>
  </si>
  <si>
    <t>No647</t>
  </si>
  <si>
    <t>No648</t>
  </si>
  <si>
    <t>No649</t>
  </si>
  <si>
    <t>No650</t>
  </si>
  <si>
    <t>No651</t>
  </si>
  <si>
    <t>No652</t>
  </si>
  <si>
    <t>No653</t>
  </si>
  <si>
    <t>No654</t>
  </si>
  <si>
    <t>No655</t>
  </si>
  <si>
    <t>No656</t>
  </si>
  <si>
    <t>No657</t>
  </si>
  <si>
    <t>No658</t>
  </si>
  <si>
    <t>No659</t>
  </si>
  <si>
    <t>No660</t>
  </si>
  <si>
    <t>No661</t>
  </si>
  <si>
    <t>No662</t>
  </si>
  <si>
    <t>No663</t>
  </si>
  <si>
    <t>No664</t>
  </si>
  <si>
    <t>No665</t>
  </si>
  <si>
    <t>No666</t>
  </si>
  <si>
    <t>No667</t>
  </si>
  <si>
    <t>No668</t>
  </si>
  <si>
    <t>No669</t>
  </si>
  <si>
    <t>No670</t>
  </si>
  <si>
    <t>No671</t>
  </si>
  <si>
    <t>No672</t>
  </si>
  <si>
    <t>No673</t>
  </si>
  <si>
    <t>No674</t>
  </si>
  <si>
    <t>No675</t>
  </si>
  <si>
    <t>No676</t>
  </si>
  <si>
    <t>No677</t>
  </si>
  <si>
    <t>No678</t>
  </si>
  <si>
    <t>No679</t>
  </si>
  <si>
    <t>No680</t>
  </si>
  <si>
    <t>No681</t>
  </si>
  <si>
    <t>No682</t>
  </si>
  <si>
    <t>No683</t>
  </si>
  <si>
    <t>No684</t>
  </si>
  <si>
    <t>No685</t>
  </si>
  <si>
    <t>No686</t>
  </si>
  <si>
    <t>No687</t>
  </si>
  <si>
    <t>No688</t>
  </si>
  <si>
    <t>No689</t>
  </si>
  <si>
    <t>No690</t>
  </si>
  <si>
    <t>No691</t>
  </si>
  <si>
    <t>No692</t>
  </si>
  <si>
    <t>No693</t>
  </si>
  <si>
    <t>No694</t>
  </si>
  <si>
    <t>No695</t>
  </si>
  <si>
    <t>No696</t>
  </si>
  <si>
    <t>No697</t>
  </si>
  <si>
    <t>No698</t>
  </si>
  <si>
    <t>No699</t>
  </si>
  <si>
    <t>No700</t>
  </si>
  <si>
    <t>No701</t>
  </si>
  <si>
    <t>No702</t>
  </si>
  <si>
    <t>No703</t>
  </si>
  <si>
    <t>No704</t>
  </si>
  <si>
    <t>No705</t>
  </si>
  <si>
    <t>No706</t>
  </si>
  <si>
    <t>No707</t>
  </si>
  <si>
    <t>No708</t>
  </si>
  <si>
    <t>No709</t>
  </si>
  <si>
    <t>No710</t>
  </si>
  <si>
    <t>No711</t>
  </si>
  <si>
    <t>No712</t>
  </si>
  <si>
    <t>No713</t>
  </si>
  <si>
    <t>No714</t>
  </si>
  <si>
    <t>No715</t>
  </si>
  <si>
    <t>No716</t>
  </si>
  <si>
    <t>No717</t>
  </si>
  <si>
    <t>No718</t>
  </si>
  <si>
    <t>No719</t>
  </si>
  <si>
    <t>No720</t>
  </si>
  <si>
    <t>No721</t>
  </si>
  <si>
    <t>No722</t>
  </si>
  <si>
    <t>No723</t>
  </si>
  <si>
    <t>No724</t>
  </si>
  <si>
    <t>No725</t>
  </si>
  <si>
    <t>No726</t>
  </si>
  <si>
    <t>No727</t>
  </si>
  <si>
    <t>No728</t>
  </si>
  <si>
    <t>No729</t>
  </si>
  <si>
    <t>No730</t>
  </si>
  <si>
    <t>No731</t>
  </si>
  <si>
    <t>No732</t>
  </si>
  <si>
    <t>No733</t>
  </si>
  <si>
    <t>No734</t>
  </si>
  <si>
    <t>No735</t>
  </si>
  <si>
    <t>No736</t>
  </si>
  <si>
    <t>No737</t>
  </si>
  <si>
    <t>No738</t>
  </si>
  <si>
    <t>No739</t>
  </si>
  <si>
    <t>No740</t>
  </si>
  <si>
    <t>No741</t>
  </si>
  <si>
    <t>No742</t>
  </si>
  <si>
    <t>No743</t>
  </si>
  <si>
    <t>No744</t>
  </si>
  <si>
    <t>No745</t>
  </si>
  <si>
    <t>No746</t>
  </si>
  <si>
    <t>No747</t>
  </si>
  <si>
    <t>No748</t>
  </si>
  <si>
    <t>No749</t>
  </si>
  <si>
    <t>No750</t>
  </si>
  <si>
    <t>No751</t>
  </si>
  <si>
    <t>No752</t>
  </si>
  <si>
    <t>No753</t>
  </si>
  <si>
    <t>No754</t>
  </si>
  <si>
    <t>No755</t>
  </si>
  <si>
    <t>No756</t>
  </si>
  <si>
    <t>No757</t>
  </si>
  <si>
    <t>No758</t>
  </si>
  <si>
    <t>No759</t>
  </si>
  <si>
    <t>No760</t>
  </si>
  <si>
    <t>No761</t>
  </si>
  <si>
    <t>No762</t>
  </si>
  <si>
    <t>No763</t>
  </si>
  <si>
    <t>No764</t>
  </si>
  <si>
    <t>No765</t>
  </si>
  <si>
    <t>No766</t>
  </si>
  <si>
    <t>No767</t>
  </si>
  <si>
    <t>No768</t>
  </si>
  <si>
    <t>No769</t>
  </si>
  <si>
    <t>No770</t>
  </si>
  <si>
    <t>No771</t>
  </si>
  <si>
    <t>No772</t>
  </si>
  <si>
    <t>No773</t>
  </si>
  <si>
    <t>No774</t>
  </si>
  <si>
    <t>No775</t>
  </si>
  <si>
    <t>No776</t>
  </si>
  <si>
    <t>No777</t>
  </si>
  <si>
    <t>No778</t>
  </si>
  <si>
    <t>No779</t>
  </si>
  <si>
    <t>No780</t>
  </si>
  <si>
    <t>No781</t>
  </si>
  <si>
    <t>No782</t>
  </si>
  <si>
    <t>No783</t>
  </si>
  <si>
    <t>No784</t>
  </si>
  <si>
    <t>No785</t>
  </si>
  <si>
    <t>No786</t>
  </si>
  <si>
    <t>No787</t>
  </si>
  <si>
    <t>No788</t>
  </si>
  <si>
    <t>No789</t>
  </si>
  <si>
    <t>No790</t>
  </si>
  <si>
    <t>No791</t>
  </si>
  <si>
    <t>No792</t>
  </si>
  <si>
    <t>No793</t>
  </si>
  <si>
    <t>No794</t>
  </si>
  <si>
    <t>No795</t>
  </si>
  <si>
    <t>No796</t>
  </si>
  <si>
    <t>No797</t>
  </si>
  <si>
    <t>No798</t>
  </si>
  <si>
    <t>No799</t>
  </si>
  <si>
    <t>No800</t>
  </si>
  <si>
    <t>No801</t>
  </si>
  <si>
    <t>No802</t>
  </si>
  <si>
    <t>No803</t>
  </si>
  <si>
    <t>No804</t>
  </si>
  <si>
    <t>No805</t>
  </si>
  <si>
    <t>No806</t>
  </si>
  <si>
    <t>No807</t>
  </si>
  <si>
    <t>No808</t>
  </si>
  <si>
    <t>No809</t>
  </si>
  <si>
    <t>No810</t>
  </si>
  <si>
    <t>No811</t>
  </si>
  <si>
    <t>No812</t>
  </si>
  <si>
    <t>Structure</t>
  </si>
  <si>
    <t>Resource 1</t>
  </si>
  <si>
    <t>Amount 1</t>
  </si>
  <si>
    <t>Resource 2</t>
  </si>
  <si>
    <t>Amount 2</t>
  </si>
  <si>
    <t>Resource 3</t>
  </si>
  <si>
    <t>Amount 3</t>
  </si>
  <si>
    <t>Resource 4</t>
  </si>
  <si>
    <t>Amount 4</t>
  </si>
  <si>
    <t>Resource 5</t>
  </si>
  <si>
    <t>Amount 5</t>
  </si>
  <si>
    <t>Resource 6</t>
  </si>
  <si>
    <t>Amount 6</t>
  </si>
  <si>
    <t>Resource 7</t>
  </si>
  <si>
    <t>Amount 7</t>
  </si>
  <si>
    <t>Resource 8</t>
  </si>
  <si>
    <t>Amount 8</t>
  </si>
  <si>
    <t>Resource 9</t>
  </si>
  <si>
    <t>Amount 9</t>
  </si>
  <si>
    <t>Resource 10</t>
  </si>
  <si>
    <t>Amount 10</t>
  </si>
  <si>
    <t>Advanced Workbench</t>
  </si>
  <si>
    <t>Linen</t>
  </si>
  <si>
    <t>Fibre</t>
  </si>
  <si>
    <t>Rare Metals</t>
  </si>
  <si>
    <t>Tanned Thick Leather</t>
  </si>
  <si>
    <t>Iron Armour Plating</t>
  </si>
  <si>
    <t>Steel Ingot</t>
  </si>
  <si>
    <t>Thick Leather</t>
  </si>
  <si>
    <t>Workshop</t>
  </si>
  <si>
    <t>Bronze Armour Plating</t>
  </si>
  <si>
    <t>Thin Leather</t>
  </si>
  <si>
    <t>Flint</t>
  </si>
  <si>
    <t>Heavy Chest Armour</t>
  </si>
  <si>
    <t>Reinforced Chest Armour</t>
  </si>
  <si>
    <t>Light Chest Armour</t>
  </si>
  <si>
    <t>Crude Chest Armour</t>
  </si>
  <si>
    <t>Heavy Leg Armour</t>
  </si>
  <si>
    <t>Reinforced Leg Armour</t>
  </si>
  <si>
    <t>Light Leg Armour</t>
  </si>
  <si>
    <t>Crude Leg Armour</t>
  </si>
  <si>
    <t>Wood Blank</t>
  </si>
  <si>
    <t>Iron Sword Blade</t>
  </si>
  <si>
    <t>Lead Ingot</t>
  </si>
  <si>
    <t>Rosin</t>
  </si>
  <si>
    <t>Bronze Sword Blade</t>
  </si>
  <si>
    <t>Iron Axe Blade</t>
  </si>
  <si>
    <t>Iron Tool Blade</t>
  </si>
  <si>
    <t>Branches</t>
  </si>
  <si>
    <t>Bronze Tool Blade</t>
  </si>
  <si>
    <t>Inventory</t>
  </si>
  <si>
    <t>Tin Ingot</t>
  </si>
  <si>
    <t>Lead Ingots</t>
  </si>
  <si>
    <t>Iron Broadax</t>
  </si>
  <si>
    <t>Rare Animal Bones</t>
  </si>
  <si>
    <t>Dead Wood Planks</t>
  </si>
  <si>
    <t>Iron Weapon Tip</t>
  </si>
  <si>
    <t>Wood Planks</t>
  </si>
  <si>
    <t>Bronze Tip Blade</t>
  </si>
  <si>
    <t>Long Bow</t>
  </si>
  <si>
    <t>Sinew Bow String</t>
  </si>
  <si>
    <t>Superior Short Bow</t>
  </si>
  <si>
    <t>Short Bow</t>
  </si>
  <si>
    <t>Animal Fat</t>
  </si>
  <si>
    <t>Strong Fibre</t>
  </si>
  <si>
    <t>Catapult Boulder</t>
  </si>
  <si>
    <t>Stone Bricks</t>
  </si>
  <si>
    <t>Mortar</t>
  </si>
  <si>
    <t>Crude Shortbow Arrows</t>
  </si>
  <si>
    <t>Longbow Arrows</t>
  </si>
  <si>
    <t>Feathers</t>
  </si>
  <si>
    <t>Scorpion Arrows</t>
  </si>
  <si>
    <t>Shortbow Arrows</t>
  </si>
  <si>
    <t>Copper Nails</t>
  </si>
  <si>
    <t>Town Tavern</t>
  </si>
  <si>
    <t>Silver</t>
  </si>
  <si>
    <t>Cabbage</t>
  </si>
  <si>
    <t>Water Bucket</t>
  </si>
  <si>
    <t>Chicken Egg</t>
  </si>
  <si>
    <t>Flour</t>
  </si>
  <si>
    <t>Roasted Hog’s Leg</t>
  </si>
  <si>
    <t>Shields</t>
  </si>
  <si>
    <t>Reinforced Wood Planks</t>
  </si>
  <si>
    <t>Resources</t>
  </si>
  <si>
    <t>Bronze Ingot</t>
  </si>
  <si>
    <t>Malachite Fragments</t>
  </si>
  <si>
    <t>Chicken Feed</t>
  </si>
  <si>
    <t>Wheat Seed</t>
  </si>
  <si>
    <t>Dead Wood Log</t>
  </si>
  <si>
    <t>Equine Feed</t>
  </si>
  <si>
    <t>Cabbage Seed</t>
  </si>
  <si>
    <t>Fertilizer</t>
  </si>
  <si>
    <t>Animal Shite</t>
  </si>
  <si>
    <t>Wood Ash</t>
  </si>
  <si>
    <t>Wheat Sheaf</t>
  </si>
  <si>
    <t>Gravel</t>
  </si>
  <si>
    <t>Stone Off-Cuts</t>
  </si>
  <si>
    <t>Iron Ingot</t>
  </si>
  <si>
    <t>Iron Ore Fragment</t>
  </si>
  <si>
    <t>Lead Fragments</t>
  </si>
  <si>
    <t>Flax</t>
  </si>
  <si>
    <t>Limestone</t>
  </si>
  <si>
    <t>Animal Bones</t>
  </si>
  <si>
    <t>Crude Resin</t>
  </si>
  <si>
    <t>Strong Sinew</t>
  </si>
  <si>
    <t>Pulverized Coal</t>
  </si>
  <si>
    <t>Mireland Beech Seed</t>
  </si>
  <si>
    <t>Briar Spruce Seed</t>
  </si>
  <si>
    <t>North Astrian Pine Seeds</t>
  </si>
  <si>
    <t>Thick Pelt</t>
  </si>
  <si>
    <t>Thin Pelt</t>
  </si>
  <si>
    <t>Cassiterite Fragments</t>
  </si>
  <si>
    <t>Mireland Beech Log</t>
  </si>
  <si>
    <t>Briar Spruce Log</t>
  </si>
  <si>
    <t>North Astrian Pine Log</t>
  </si>
  <si>
    <t>Basic Saddle</t>
  </si>
  <si>
    <t>Mill Harness</t>
  </si>
  <si>
    <t>Pack Saddle</t>
  </si>
  <si>
    <t>Barrel</t>
  </si>
  <si>
    <t>Bronze Ingot (Heated)</t>
  </si>
  <si>
    <t>Bronze Axe Blade</t>
  </si>
  <si>
    <t>Iron Ingot (Heated)</t>
  </si>
  <si>
    <t xml:space="preserve">Iron Ingot </t>
  </si>
  <si>
    <t>Bandage</t>
  </si>
  <si>
    <t>Repair Materials</t>
  </si>
  <si>
    <t>Vehicles</t>
  </si>
  <si>
    <t>Tools</t>
  </si>
  <si>
    <t>Hammer</t>
  </si>
  <si>
    <t>Town</t>
  </si>
  <si>
    <t>Fortress</t>
  </si>
  <si>
    <t>Siegecamp</t>
  </si>
  <si>
    <t>Homestead</t>
  </si>
  <si>
    <t>Coast</t>
  </si>
  <si>
    <t>Shipyard</t>
  </si>
  <si>
    <t>Iron Toold Blade</t>
  </si>
  <si>
    <t>Town Workbench</t>
  </si>
  <si>
    <t>Workbench</t>
  </si>
  <si>
    <t>Tool</t>
  </si>
  <si>
    <t>Location</t>
  </si>
  <si>
    <t>Iron Hammer, Flint Hammer</t>
  </si>
  <si>
    <t>Own Territory</t>
  </si>
  <si>
    <t>The Beacon Tower is a structure used to detect players and certain structures within its radius and display them on the map. Beacons can link with a friendly Fortress Keep  or other Beacon Towers to create a chain. The detection range of each beacon varies based on relative altitude within an area, with greater coverage from the sides of hills and mountains. The altitude indicators observed before placing the beacon are normal, high, very high, and highest depending where you are building the beacon. If the beacon is fueled and an enemy appears within its own or linked radius, the beacon tower will visually become lit.</t>
  </si>
  <si>
    <t>Anywhere</t>
  </si>
  <si>
    <t>The Dirt Path is a road surface that will speed up any player running over it by 20%.</t>
  </si>
  <si>
    <t>Gravel Road</t>
  </si>
  <si>
    <t>The Gravel Road is a road surface that will speed up any player running over it by 25%.</t>
  </si>
  <si>
    <t>Own Facilities</t>
  </si>
  <si>
    <t>The Repair Bench is a structure that can be used to repair damaged weapons, tools or armours by consuming Copper Nails. It always costs 1 nail to fully repair an item.</t>
  </si>
  <si>
    <t>A Sign Post is a structure that can be built almost anywhere within the world to create semi-persistent text messages. Signs can be upvoted or downvoted to increase or decrease its lifespan. Signs have a 200 message character limit.</t>
  </si>
  <si>
    <t>The Standing Torch is a light producing structure that needs fuel to function.</t>
  </si>
  <si>
    <t>The Storage Chest is a small dedicated storage structure.</t>
  </si>
  <si>
    <t>Fortress, Wildness</t>
  </si>
  <si>
    <t>The Temple is a late game victory condition structure. It can be built no earlier than 4 Days after the war has started, with currently 2 being required to start the condition and then kept alive for 48 hours. Temples will be visible on the map for everyone once built.</t>
  </si>
  <si>
    <t>Town, Fortress, Siegecamp</t>
  </si>
  <si>
    <t>The Tent is a structure that is built to increase avatar recovery time. Base recovery is 10 hours and with each tent built increases avatar recovery speed by 5%, with maximum of 20 tents reaching 100% (5 hours), effectively halving the time required for full recovery.</t>
  </si>
  <si>
    <t>Homestead Bridge Walkway</t>
  </si>
  <si>
    <t>Passable walkway with openings to both sides.</t>
  </si>
  <si>
    <t>Homestead Corridor T1</t>
  </si>
  <si>
    <t>Passable corridor with openings to both sides.</t>
  </si>
  <si>
    <t>Homestead Corridor T2</t>
  </si>
  <si>
    <t>The Homestead Bedrock Stairs is a homestead structure.</t>
  </si>
  <si>
    <t>Homestead Bedrock Stairs T1</t>
  </si>
  <si>
    <t>Homestead Bedrock Stairs T2</t>
  </si>
  <si>
    <t>Homestead Half Bedrock T1</t>
  </si>
  <si>
    <t>The Homestead Half Bedrock is a homestead structure.</t>
  </si>
  <si>
    <t>Homestead Half Bedrock T2</t>
  </si>
  <si>
    <t>Homestead Half Triangular Bedrock T1</t>
  </si>
  <si>
    <t>The Homestead Half Triangular Bedrock is a homestead structure.</t>
  </si>
  <si>
    <t>Homestead Half Triangular Bedrock T2</t>
  </si>
  <si>
    <t>Homestead Quarter Bedrock T1</t>
  </si>
  <si>
    <t>The Homestead Quarter Bedrock is a homestead structure.</t>
  </si>
  <si>
    <t>Homestead Quarter Bedrock T2</t>
  </si>
  <si>
    <t>Homestead Square Bedrock T1</t>
  </si>
  <si>
    <t>Copper Bricks</t>
  </si>
  <si>
    <t>Homestead Square Bedrock T2</t>
  </si>
  <si>
    <t>Homestead Triangular Bedrock T1</t>
  </si>
  <si>
    <t>Homestead Triangular Bedrock  is a homestead structure.</t>
  </si>
  <si>
    <t>Homestead Triangular Bedrock T2</t>
  </si>
  <si>
    <t>The Homestead Triangular Bedrock  is a homestead structure.</t>
  </si>
  <si>
    <t>Homestead Banner</t>
  </si>
  <si>
    <t>A Homestead Banner is a banner that can be built to display your Empire's heraldry.</t>
  </si>
  <si>
    <t>Homestead Half Floor</t>
  </si>
  <si>
    <t>The Homestead Half Floor is a homestead structure.</t>
  </si>
  <si>
    <t>Homestead Half Triangular Floor</t>
  </si>
  <si>
    <t>The Homestead Half Triangular Floor is a homestead structure.</t>
  </si>
  <si>
    <t>Homestead Quarter Floor</t>
  </si>
  <si>
    <t>The Homestead Quarter Floor is a homestead structure.</t>
  </si>
  <si>
    <t>Homestead Square Floor</t>
  </si>
  <si>
    <t>The Homestead Square Floor is a homestead structure.</t>
  </si>
  <si>
    <t>Homestead Triangular Floor</t>
  </si>
  <si>
    <t>The Homestead Triangular Floor is a homestead structure.</t>
  </si>
  <si>
    <t>The Homestead Keystone is the center of a homestead and can be claimed by a house. At Tiers 2 and 3, a destroyed keystone collapses into an indestructible husk that despawns after 24 hours unless it is repaired. Keystones without a roof or any pledges will rapidly decay, potentially within only a few hours, even when upkeep Silver Gold.png is available.</t>
  </si>
  <si>
    <t>The Advanced Workbench is a structure used for crafting advanced tools.</t>
  </si>
  <si>
    <t>Bronze Ingots</t>
  </si>
  <si>
    <t>Homestead Bed</t>
  </si>
  <si>
    <t>The Homestead Bed is a structure that is built to increase avatar recovery time. Base recovery time is 6 hours and 40 minutes and with each homestead bed built increases avatar recovery speed by 12.5%, with maximum of 8 beds reaching 100% (3 hours and 20 minutes), effectively halving the time required for full recovery.</t>
  </si>
  <si>
    <t>Resource Stockpile T1</t>
  </si>
  <si>
    <t>The Resource Stockpile is a structure that can be used to hold large amounts of resources.</t>
  </si>
  <si>
    <t>Resource Stockpile T2</t>
  </si>
  <si>
    <t>Resource Stockpile T3</t>
  </si>
  <si>
    <t>The Workbench is a structure used for crafting simple tools.</t>
  </si>
  <si>
    <t>Homestead Full Height Stairs</t>
  </si>
  <si>
    <t>The Homestead Full Height Stairs is a homestead structure.</t>
  </si>
  <si>
    <t>Homestead Half Height Stairs T1</t>
  </si>
  <si>
    <t>The Homestead Half Height Stairs is a homestead structure.</t>
  </si>
  <si>
    <t>Homestead Arch Wall T1</t>
  </si>
  <si>
    <t>The Homestead Arch Wall is a homestead structure.</t>
  </si>
  <si>
    <t>Homestead Arch Wall T2</t>
  </si>
  <si>
    <t>Homestead Declined Wall T1</t>
  </si>
  <si>
    <t>The Homestead Declined Wall is a homestead structure.</t>
  </si>
  <si>
    <t>Homestead Declined Wall T2</t>
  </si>
  <si>
    <t>Homestead Door Wall T1</t>
  </si>
  <si>
    <t>The Homestead Door Wall is a homestead structure.</t>
  </si>
  <si>
    <t>Homestead Door Wall T2</t>
  </si>
  <si>
    <t>Homestead Half Width Wall T1</t>
  </si>
  <si>
    <t>The Homestead Half Width Wall is a homestead structure.</t>
  </si>
  <si>
    <t>Homestead Half Width Wall T2</t>
  </si>
  <si>
    <t>Homestead Inclined Wall T1</t>
  </si>
  <si>
    <t>The Homestead Inclined Wall is a homestead structure.</t>
  </si>
  <si>
    <t>Homestead Inclined Wall T2</t>
  </si>
  <si>
    <t>Homestead Power Bypass Wall</t>
  </si>
  <si>
    <t>A Power Bypass Wall is used to pass a Power Connection Rope  through the walls of a homestead. It's commonly used to input power from an external source such as a Wind Mill  or Power Mill .</t>
  </si>
  <si>
    <t>Homestead Quarter Wall T1</t>
  </si>
  <si>
    <t>The Homestead Quarter Wall is a homestead structure.</t>
  </si>
  <si>
    <t>Homestead Quarter Wall T2</t>
  </si>
  <si>
    <t>Homestead Square Wall T1</t>
  </si>
  <si>
    <t>The Homestead Square Wall is a homestead structure.</t>
  </si>
  <si>
    <t>Homestead Square Wall T2</t>
  </si>
  <si>
    <t>Homestead Windowed Wall T1</t>
  </si>
  <si>
    <t>The Homestead Windowed Wall is a homestead structure.</t>
  </si>
  <si>
    <t>Homestead Windowed Wall T2</t>
  </si>
  <si>
    <t>Fortress, Homestead</t>
  </si>
  <si>
    <t>The Banquet Table is a food storage structure.</t>
  </si>
  <si>
    <t>The Firepit is a basic cooking structure used for simple food recipes.</t>
  </si>
  <si>
    <t>Townstead</t>
  </si>
  <si>
    <t>The Hearth is a cooking structure used for food recipes.</t>
  </si>
  <si>
    <t>The Liquid Barrel is a structure for storing liquids.</t>
  </si>
  <si>
    <t>The Meat Rack is a structure for storing uncooked meats, slowing their decay.</t>
  </si>
  <si>
    <t>The Oven is a cooking structure used for cooking advanced food recipes.</t>
  </si>
  <si>
    <t>The Pantry is a structure that can be used for storing cooking ingredients.</t>
  </si>
  <si>
    <t>The Armour Rack is a structure that can store armours and shields.</t>
  </si>
  <si>
    <t>Fortress, Wildstead</t>
  </si>
  <si>
    <t>The Gate is simple gate which can be used with Makeshift Walls inside a Homestead Keystone. It can be opened and closed by pressing Keyboard V while in range of the gate. Battering Rams have a unique feature when attacking Gates that allows it to breach and open a gate before it's destroyed. Once a gate has been breached it will be permanently stuck open until it has been repaired. The chance for a gate to breach depends on its tier, and its health each time the gate is rammed.</t>
  </si>
  <si>
    <t>Makeshift Wall</t>
  </si>
  <si>
    <t>The Makeshift Wall is a basic wall for defending your homesteads, it connects well with the Gate (Homestead).</t>
  </si>
  <si>
    <t>Mantlet</t>
  </si>
  <si>
    <t>The Mantlet is a temporary defensive structure that can be built to provide cover.</t>
  </si>
  <si>
    <t>Wildstead, Siegecamp</t>
  </si>
  <si>
    <t>The Stockade is a defensive spike structure that will damage players or animals that get too close, dealing 40 Piercing  damage per second.</t>
  </si>
  <si>
    <t>Fortress, Siegecamp</t>
  </si>
  <si>
    <t>The Tower is a structure.</t>
  </si>
  <si>
    <t>The Weapon Stockpile is a storage structure for holding weapons, tools or ammunition.</t>
  </si>
  <si>
    <t>Siegecamp, Wilderness</t>
  </si>
  <si>
    <t>The Aqueduct Pump is a water structure used to pump water from a river into an aqueduct system. Aqueducts cannot be built without water connection.</t>
  </si>
  <si>
    <t>Aqueduct Slope - Gentle</t>
  </si>
  <si>
    <t>Siegecamp, Wilderness, Town</t>
  </si>
  <si>
    <t>The Aqueduct Slope - Gentle is a water structure used to transport water from a river along a aqueduct system. Aqueducts cannot be built without water connection.</t>
  </si>
  <si>
    <t>Aqueduct Slope - Steep</t>
  </si>
  <si>
    <t>The Aqueduct Slope - Steep is a water structure used to transport water from a river along a aqueduct system. Aqueducts cannot be built without water connection.</t>
  </si>
  <si>
    <t>Aqueduct Straight</t>
  </si>
  <si>
    <t>The Aqueduct Straight is a water structure used to transport water from a river along a aqueduct system. Aqueducts cannot be built without water connection.</t>
  </si>
  <si>
    <t>Homestead, Wilderness, Town</t>
  </si>
  <si>
    <t>A Canal is a structure for distributing water from an aqueduct around a Town or Homestead. It can be used to attach to a Water Wheel or Canal Storage.</t>
  </si>
  <si>
    <t>The Canal Storage is a structure used in an aqueduct system for storing water. It will drain water from the system, storing Water Bucket  in its inventory. The speed at which Water Bucket  are filled is based on the number of other canal storages attached to the system. It has a minimum time of 15 seconds per water, but this can extend into 5+ minutes per water with large amounts of attached canal storage.</t>
  </si>
  <si>
    <t xml:space="preserve">Wildstead </t>
  </si>
  <si>
    <t>To craft using the heating vat you need three types of items. The necessary input for the recipe, the fuel which will set the vats heat, and the Water Bucket  used for boiling. A Bellow  can be attached to boost the heat input of the fuel by 50%, with each boilable item having an optimal target temprature for best Quality.</t>
  </si>
  <si>
    <t>The Shallow Well is a structure used to get water. It will create 1 Water Bucket  every 45 seconds.</t>
  </si>
  <si>
    <t>The Water Wheel is a water structure used to generate power fed from a Canal  attached to an aqueduct system.</t>
  </si>
  <si>
    <t>The Anvil is a heated smithing structure used to shape Bronze Ingot (Heated) and Iron Ingot (Heated) into blades.</t>
  </si>
  <si>
    <t>The Bellow is an industrial structure used to attach to a Forge  or Heating Vat  to increase heat.</t>
  </si>
  <si>
    <t>Wildstead</t>
  </si>
  <si>
    <t>The Farm Fence is a structure useful against rabbits and losing animals.</t>
  </si>
  <si>
    <t>The Farm Gate is a structure.</t>
  </si>
  <si>
    <t>The Food Trough is a husbandry structure used for raising Horse Foal  or Donkey Foal . NOTE: Adult animals will not eat food from the Food Trough, meaning they will starve if not placed inside a Stable , or fed manually.</t>
  </si>
  <si>
    <t>The Forge is a smithing structure used for heating ingots or blades. By default its only able to heat items up to 50% heat, with the remaining 50% be accessed by building an attached Bellow .</t>
  </si>
  <si>
    <t>The Furnace is a refinement structure used for refining fragments into ingots.</t>
  </si>
  <si>
    <t>The Grain Mill is a structure used for milling resources. Players can manually operate the mill via a handcrank to grind ingredients, or attach a Powered Handcrank Adapter  connected to a power source for automation. The coarseness of ground ingredients can be controlled by pushing a lever at the side of the structure. The correct coarseness determines the final quality of the outputted materials.</t>
  </si>
  <si>
    <t>Hen House T1</t>
  </si>
  <si>
    <t>The Hen House is a animal husbandry structure used for feeding Chicken  with Chicken Feed  and collecting their Chicken Egg  and Feathers . Up to 8 chickens will eat at midnight each day if enough feed is available.</t>
  </si>
  <si>
    <t>Hen House T2</t>
  </si>
  <si>
    <t>The Hen House is a animal husbandry structure used for feeding Chicken  with Chicken Feed  and collecting their Chicken Egg  and Feathers . Up to 20 chickens will eat at midnight each day if enough feed is available.</t>
  </si>
  <si>
    <t>Underworld</t>
  </si>
  <si>
    <t>The Mining Platform, like the Mining Stairs , is a framing structure used in the underworld for accessing resource chunks. They can only be built in close proximity to underworld cube mines.</t>
  </si>
  <si>
    <t>The Mining Stairs, like the Mining Platform , is a framing structure used in the underworld for accessing resource chunks. They can only be built in close proximity to underworld cube mines.</t>
  </si>
  <si>
    <t>The Power Connection Gear is a power structure used with Power Connection Rope  to carry mechanical energy to other rope power structures.</t>
  </si>
  <si>
    <t>The Power Connection Rope is a power structure used with Power Connection Gear  to carry mechanical energy to other rope power structures.</t>
  </si>
  <si>
    <t>The Power Mill is a structure for power generation much like the Water Wheel , and Wind Mill . It's a manual push wheel that can be used by players, Horse  or Donkey . In order for a Horse  or Donkey  to be attached they must have a Mill Harness  attachment.</t>
  </si>
  <si>
    <t>The Powered Handcrank Adapter is a power structure that's used to connect the Grain Mill  to a power system via Power Connection Rope .</t>
  </si>
  <si>
    <t>The Powered Saw Mill is a workshop structure that attaches to the Sawbuck . It's a powered structure used to automatically saw logs attached to the sawbuck.</t>
  </si>
  <si>
    <t>The Quenching Station is a smithing structure used for cooling heated ingots and blades. It consumes one Water Bucket  for each item quenched.</t>
  </si>
  <si>
    <t>The Sawbuck is a structure used for processing logs into different resources. Logs are processed via hitting with an axe or use of an attached Powered Saw Mill .</t>
  </si>
  <si>
    <t>The Smashing Plate is a structure used for breaking down rocks and minerals. Items are processed via hitting with a hammer or use of an attached Stamp Mill .</t>
  </si>
  <si>
    <t>A Stable is a structure used for feeding and breeding Horse Foal  or Donkey Foal . Each stable can hold up to 3 animals. Animals in the stable are automatically fed from available Equine Feed  when their satiety drops below 65%. Animals in the stable can be bred by having two of the same kind of animal, Equine Feed. Water Bucket, and an empty animal slot within the stable. If these conditions are met breeding can take 1-4 hours for Horse and 2-5 hours for Donkey.</t>
  </si>
  <si>
    <t>The Stamp Mill is a structure used to attach to a Smashing Plate  allowing for powered automated mineral and rock production.</t>
  </si>
  <si>
    <t>The Stone Anvil is a cold smithing structure used to shape Bronze Ingot  or Iron Ingot  into blades.</t>
  </si>
  <si>
    <t>A Tilled Field is a farm structure that's required for planting and growing crops. It has 20 slots that can be filled with the various crop types.</t>
  </si>
  <si>
    <t>The Trip Hammer is a smithing powered structure used to automate and speed up the forging process.</t>
  </si>
  <si>
    <t>The Wind Mill is a simple structure for power generation that can be rotated to point in the direction of the wind.</t>
  </si>
  <si>
    <t>Fort Banner (Hanging)</t>
  </si>
  <si>
    <t>A Fort Banner (Hanging) is a banner that can be built to display your Empire's heraldry.</t>
  </si>
  <si>
    <t>Fort Banner (Standing)</t>
  </si>
  <si>
    <t>A Fort Banner (Standing) is a banner that can be built to display your Empire's heraldry.</t>
  </si>
  <si>
    <t>The Scorpion is a defensive anti-infantry siege weapon that can be deployed on foundations. To operate it, Scorpion Arrows  must be inserted into its inventory. Once loaded, the scorpion can be reloaded using the default key  to prepare it to fire. A white tracer line will indicate your current aim.</t>
  </si>
  <si>
    <t>Keep Arch Foundation T1</t>
  </si>
  <si>
    <t>Is a defensive structure.</t>
  </si>
  <si>
    <t>Keep Arch Foundation T2</t>
  </si>
  <si>
    <t>Keep Gate Foundation T1</t>
  </si>
  <si>
    <t>Keep Gate Foundation T2</t>
  </si>
  <si>
    <t>Keep Half Width Foundation T1</t>
  </si>
  <si>
    <t>Keep Half Width Foundation T2</t>
  </si>
  <si>
    <t>Keep Quarter Triangular Foundation T1</t>
  </si>
  <si>
    <t>Keep Quarter Triangular Foundation T2</t>
  </si>
  <si>
    <t>Keep Rounded Foundation T1</t>
  </si>
  <si>
    <t>Keep Rounded Foundation T2</t>
  </si>
  <si>
    <t>Keep Side Stairs Foundation T1</t>
  </si>
  <si>
    <t>Keep Side Stairs Foundation T2</t>
  </si>
  <si>
    <t>Keep Square Foundation T1</t>
  </si>
  <si>
    <t>Keep Square Foundation T2</t>
  </si>
  <si>
    <t>Keep Triangular Foundation T1</t>
  </si>
  <si>
    <t>Keep Triangular Foundation T2</t>
  </si>
  <si>
    <t>A Fortress Keep is a structure that creates a buildable fortress area with 38m radius. It must be placed as a blueprint from a Caravan  before construction. It has a bounty board which only the Pagan Oath Ring , Ancient Lamen , Remnant Cingulum , Fortress Charters , Religious Relics  and valuables trophies can be turned in.</t>
  </si>
  <si>
    <t>A Fortress Keep is a structure that creates a buildable fortress area with 38m radius. It must be placed as a blueprint from a Caravan  before construction. It has a bounty board which only the Pagan Oath Ring , Ancient Lamen , Remnant Cingulum  and Fortress Charters  trophies can be turned in.</t>
  </si>
  <si>
    <t>Keep Half Triangular Landing T1</t>
  </si>
  <si>
    <t>Keep Half Triangular Landing T2</t>
  </si>
  <si>
    <t>Keep Rounded Landing T1</t>
  </si>
  <si>
    <t>Keep Rounded Landing T2</t>
  </si>
  <si>
    <t>Keep Square Landing T1</t>
  </si>
  <si>
    <t>Keep Square Landing T2</t>
  </si>
  <si>
    <t>Keep Triangular Landing T1</t>
  </si>
  <si>
    <t>Keep Triangular Landing T2</t>
  </si>
  <si>
    <t>Flat Half Parapet T1</t>
  </si>
  <si>
    <t>Flat Half Parapets are modular fortifications designed to provide cover along wall tops. They grant a 10% damage reduction to the structure they're attached to. The reduction bonus can stack a maximum of 2 times per structure.</t>
  </si>
  <si>
    <t>Flat Half Parapet T2</t>
  </si>
  <si>
    <t>Flat Parapet T1</t>
  </si>
  <si>
    <t>Flat Parapets are modular fortifications designed to provide cover along wall tops. They grant a 10% damage reduction to the structure they're attached to. The reduction bonus can stack a maximum of 2 times per structure.</t>
  </si>
  <si>
    <t>Flat Parapet T2</t>
  </si>
  <si>
    <t>Rounded Parapet T1</t>
  </si>
  <si>
    <t>Rounded Parapets are modular fortifications designed to provide cover along wall tops. They grant a 10% damage reduction to the structure they're attached to. The reduction bonus can stack a maximum of 2 times per structure.</t>
  </si>
  <si>
    <t>Rounded Parapet T2</t>
  </si>
  <si>
    <t>Staircase Half Parapet T1</t>
  </si>
  <si>
    <t>Staircase Half Parapet are modular fortifications designed to provide cover along wall tops. They grant a 10% damage reduction to the structure they're attached to. The reduction bonus can stack a maximum of 2 times per structure.</t>
  </si>
  <si>
    <t>Staircase Half Parapet T2</t>
  </si>
  <si>
    <t>Staircase Parapet T1</t>
  </si>
  <si>
    <t>Staircase Parapet are modular fortifications designed to provide cover along wall tops. They grant a 10% damage reduction to the structure they're attached to. The reduction bonus can stack a maximum of 2 times per structure.</t>
  </si>
  <si>
    <t>Staircase Parapet T2</t>
  </si>
  <si>
    <t>A Town Marketplace is a structure for players to sell and buy armour, food, resources, tools, weapons, and vehicles. A market symbol can be seen on the map next to each Town  which can be hovered to show the current buy and sell orders. For use the market must be visited in person and interacted with. The market has 3 menu tabs. "Buy/Sell" "Place Order" and "Active Orders. "Place Order" will only be shown if the market is interacted with directly.</t>
  </si>
  <si>
    <t>The Rested buff is a player buff that is applied boosting stamina regeneration for a set duration. The buff will be applied when eating any food within the interior of the Town Tavern.</t>
  </si>
  <si>
    <t>Town Workshop is a production structure in Towns . It has a Repair Bench  inside.</t>
  </si>
  <si>
    <t>Keep Corner In Roofing T1</t>
  </si>
  <si>
    <t>Keep Corner In Roofing T2</t>
  </si>
  <si>
    <t>Keep Corner Out Roofing T1</t>
  </si>
  <si>
    <t>Keep Corner Out Roofing T2</t>
  </si>
  <si>
    <t>Keep Edge Roofing T1</t>
  </si>
  <si>
    <t>Keep Edge Roofing T2</t>
  </si>
  <si>
    <t>Keep Inclined Roofing T1</t>
  </si>
  <si>
    <t>Keep Inclined Roofing T2</t>
  </si>
  <si>
    <t>Keep Interior Roofing T1</t>
  </si>
  <si>
    <t>Keep Interior Roofing T2</t>
  </si>
  <si>
    <t>Keep Quarter Incline Roofing T1</t>
  </si>
  <si>
    <t>Keep Quarter Incline Roofing T2</t>
  </si>
  <si>
    <t>Keep Quarter Triangular Roofing T1</t>
  </si>
  <si>
    <t>Keep Quarter Triangular Roofing T2</t>
  </si>
  <si>
    <t>Keep Rounded Roofing T1</t>
  </si>
  <si>
    <t>Keep Rounded Roofing T2</t>
  </si>
  <si>
    <t>Keep Triangular Roofing T1</t>
  </si>
  <si>
    <t>Keep Triangular Roofing T2</t>
  </si>
  <si>
    <t>Keep Half Height Staircase T1</t>
  </si>
  <si>
    <t>Keep Half Height Staircase T2</t>
  </si>
  <si>
    <t>Keep Half Spiral Staircase T1</t>
  </si>
  <si>
    <t>Keep Half Spiral Staircase T2</t>
  </si>
  <si>
    <t>Keep Staircase T1</t>
  </si>
  <si>
    <t>Keep Staircase T2</t>
  </si>
  <si>
    <t>Town Keep</t>
  </si>
  <si>
    <t>The Town Keep is a preplaced structure that serves as a capture point for the military victory condition. It also acts as the primary spawn point for players, having a storage for 500 Auxiliary  avatars and an additional 1000 for named avatars. The keep features a public storage armoury, which can be unlocked when enemies are nearby, as well as rentable house and private storages. It creates a buildable town area with a 120m radius, allowing for the construction of town structures, including foundations used for walls and defences. Town Keystones  can be built by those with a house within this area, enabling the construction of more advanced smithing and cooking structures. For solo or newer players looking to live within a town it's advised that they rent a private storage tab, and make use of the towns services while also renting any town homesteads setup by others to fulfil any additional smithing or cooking needs that can't be met via the standard town services.</t>
  </si>
  <si>
    <t>Keep Arch Hold Wall T1</t>
  </si>
  <si>
    <t>Keep Arch Hold Wall T2</t>
  </si>
  <si>
    <t>Keep Door Hold Wall T1</t>
  </si>
  <si>
    <t>Keep Door Hold Wall T2</t>
  </si>
  <si>
    <t>Keep Doorway Hold Wall T1</t>
  </si>
  <si>
    <t>Keep Doorway Hold Wall T2</t>
  </si>
  <si>
    <t>Keep Half Triangular Hold Wall T1</t>
  </si>
  <si>
    <t>Keep Half Triangular Hold Wall T2</t>
  </si>
  <si>
    <t>Keep Hold Wall T1</t>
  </si>
  <si>
    <t>Keep Hold Wall T2</t>
  </si>
  <si>
    <t>Keep Quarter Hold Wall T1</t>
  </si>
  <si>
    <t>Keep Quarter Hold Wall T2</t>
  </si>
  <si>
    <t>Keep Rounded Hold Wall T1</t>
  </si>
  <si>
    <t>Keep Rounded Hold Wall T2</t>
  </si>
  <si>
    <t>Keep Windowed Hold Wall T1</t>
  </si>
  <si>
    <t>Keep Windowed Hold Wall T2</t>
  </si>
  <si>
    <t>Keep Triangular Hold Wall T1</t>
  </si>
  <si>
    <t>Keep Triangular Hold Wall T2</t>
  </si>
  <si>
    <t>Keep Windowed Round Hold Wall T1</t>
  </si>
  <si>
    <t>Keep Windowed Round Hold Wall T2</t>
  </si>
  <si>
    <t>Wilderness</t>
  </si>
  <si>
    <t>A Large Camp is a siege camp structure that can be deployed from a Caravan  before being built. Without a supply of Silver  the structures around the camp will decay. It has a bounty board which only the Pagan Oath Ring , Ancient Lamen , Remnant Cingulum , Fortress Charters , Religious Relics  and valuables trophies can be turned in.</t>
  </si>
  <si>
    <t>World Resource</t>
  </si>
  <si>
    <t>Output 1</t>
  </si>
  <si>
    <t>Output 2</t>
  </si>
  <si>
    <t>Output 3</t>
  </si>
  <si>
    <t>Animal Shite Pile</t>
  </si>
  <si>
    <t>WR001</t>
  </si>
  <si>
    <t>Animal Shite Pile is a resource pile created by Horse and Donkey. It despawns after 15 Minutes if not collected.</t>
  </si>
  <si>
    <t>Berry Bush</t>
  </si>
  <si>
    <t>WR002</t>
  </si>
  <si>
    <t>Berry Bush is a resource bush within the world of Calligo.</t>
  </si>
  <si>
    <t>Branch Pile</t>
  </si>
  <si>
    <t>WR003</t>
  </si>
  <si>
    <t>Branch Pile is a resource pile within the world of Calligo.</t>
  </si>
  <si>
    <t>Briar Spruce Tree</t>
  </si>
  <si>
    <t>WR004</t>
  </si>
  <si>
    <t>Stone Axe, Bronze Axe, Iron Axe, Iron Broadax</t>
  </si>
  <si>
    <t>The Briar Spruce Tree is a type of tree found within the world of Calligo. It has 3 stages of growth with 2 hours of time between each stage, for a total growth time of 4 hours. The amount of logs dropped by the tree change depending on its growth stage, with seeds only being dropped in the mature stage.</t>
  </si>
  <si>
    <t>Briar Spruce Seeds</t>
  </si>
  <si>
    <t>Cabbage Plant</t>
  </si>
  <si>
    <t>WR005</t>
  </si>
  <si>
    <t>Cabbage Plant is a plant that grows on a Tilled Field . It requires Cabbage Seed  to plant. Cabbage plants take a total of 1.5 hours to grow. If Fertilizer  is applied on the field, the growth time is reduced by 33% thus taking roughly 1 hour to grow.</t>
  </si>
  <si>
    <t>1 to 2</t>
  </si>
  <si>
    <t>Cabbageseeds</t>
  </si>
  <si>
    <t>1 to 3</t>
  </si>
  <si>
    <t>Cassiterite Chunk</t>
  </si>
  <si>
    <t>WR006</t>
  </si>
  <si>
    <t>Bronze Pickaxe, Iron Pickaxe</t>
  </si>
  <si>
    <t>Cassiterite Chunk is a resource found in the underworld. It can only be found after 4 days have passed in the age.</t>
  </si>
  <si>
    <t>Cassiterite Ore</t>
  </si>
  <si>
    <t>Coal Chunk</t>
  </si>
  <si>
    <t>WR007</t>
  </si>
  <si>
    <t>Coal Chunk is a resource found in the underworld. It can only be found after 3 days have passed in the age.</t>
  </si>
  <si>
    <t>Coal</t>
  </si>
  <si>
    <t>Dead Wood Tree</t>
  </si>
  <si>
    <t>WR008</t>
  </si>
  <si>
    <t>Bronze Axe, Iron Axe, Iron Broadax</t>
  </si>
  <si>
    <t>Dead Wood Trees are a type of tree resource found within the world of Calligo. They will spawn 3 Dire Raven  which will patrol close to the tree to protect it.</t>
  </si>
  <si>
    <t>Flax Plant</t>
  </si>
  <si>
    <t>WR009</t>
  </si>
  <si>
    <t>Flax Plant is a plant that grows on a Tilled Field . It requires Flax Seed  to plant. Flax plants take a total of 2 hours to grow. If Fertilizer  is applied on the field, the growth time is reduced by 33% thus taking roughly 1 hour, 20 minutes to grow.</t>
  </si>
  <si>
    <t>Flint Pile</t>
  </si>
  <si>
    <t>WR010</t>
  </si>
  <si>
    <t>Flint Pile is a resource pile within the world of Calligo.</t>
  </si>
  <si>
    <t>Hemp Plant</t>
  </si>
  <si>
    <t>WR011</t>
  </si>
  <si>
    <t>Hemp Plant is a resource that will start to spawn in Calligo 2 days into the age. After which it can be cultivated on a Tilled Field . It requires Hemp Seed  for planting and need warm air temperatures to be sown. Hemp plants take a total of 3 hours to grow. If Fertilizer  is applied on the field, the growth time is reduced by 33% thus taking roughly 2 hours to grow.</t>
  </si>
  <si>
    <t>Hemp Seed</t>
  </si>
  <si>
    <t>Iron Chunk</t>
  </si>
  <si>
    <t>WR012</t>
  </si>
  <si>
    <t>Iron Ore</t>
  </si>
  <si>
    <t>Iron Fragments Pile</t>
  </si>
  <si>
    <t>WR013</t>
  </si>
  <si>
    <t>Iron Fragments Pile is a resource found in the underworld.</t>
  </si>
  <si>
    <t>Lead Fragments Pile</t>
  </si>
  <si>
    <t>WR014</t>
  </si>
  <si>
    <t>Lead Fragments Pile is a resource pile that can be found within the world of Calligo.</t>
  </si>
  <si>
    <t>Malachite Chunk</t>
  </si>
  <si>
    <t>WR015</t>
  </si>
  <si>
    <t>Malachite Chunk is a resource found in the underworld.</t>
  </si>
  <si>
    <t>Malachite Ore</t>
  </si>
  <si>
    <t>Malachite Fragments Pile</t>
  </si>
  <si>
    <t>WR016</t>
  </si>
  <si>
    <t>Flint Pickaxe, Bronze Pickaxe, Iron Pickaxe</t>
  </si>
  <si>
    <t>Malachite Fragments Pile is a resource pile that can be found around a Malachite Mine .</t>
  </si>
  <si>
    <t>Mireland Beech Tree</t>
  </si>
  <si>
    <t>WR017</t>
  </si>
  <si>
    <t>The Mireland Beech Tree is a type of tree found within the world of Calligo. It has 3 stages of growth with 2 hours of time between each stage, for a total growth time of 4 hours. The amount of logs dropped by the tree change depending on its growth stage, with seeds only being dropped in the mature stage.</t>
  </si>
  <si>
    <t>North Astrian Pine Tree</t>
  </si>
  <si>
    <t>WR018</t>
  </si>
  <si>
    <t>The North Astrian Pine Tree is a type of tree found within the world of Calligo. It has 3 stages of growth with 2 hours of time between each stage, for a total growth time of 4 hours. The amount of logs dropped by the tree change depending on its growth stage, with seeds only being dropped in the mature stage.</t>
  </si>
  <si>
    <t>Rare Metals Pile</t>
  </si>
  <si>
    <t>WR019</t>
  </si>
  <si>
    <t>Rare Metals Pile is a resource pile that can be found in the underworld.</t>
  </si>
  <si>
    <t>Relic Site</t>
  </si>
  <si>
    <t>WR020</t>
  </si>
  <si>
    <t>A Relic Site is a religious victory condition structure that will spawn at random location along the current empire territory border every 1 Hour, 30 Minutes. After spawning the site will be available for mining with a pickaxe for 15 minutes before despawning. Successfully mining the site will reward you with number of Religious Relics  which can be handed in at a town Bounty Board to provide both Silver  and 14 religious influence per trophy. The first empire to reach 10,000 influence will earn the religious victory.</t>
  </si>
  <si>
    <t>Religious Relics</t>
  </si>
  <si>
    <t>Resin Pile</t>
  </si>
  <si>
    <t>WR021</t>
  </si>
  <si>
    <t>Bronze Knife, Iron Knife</t>
  </si>
  <si>
    <t>Resin Pile is a resource pile that can be found in the world of Calligo.</t>
  </si>
  <si>
    <t>Stone Chunk</t>
  </si>
  <si>
    <t>WR022</t>
  </si>
  <si>
    <r>
      <rPr/>
      <t xml:space="preserve">Stone Chunk is a </t>
    </r>
    <r>
      <rPr>
        <color rgb="FF000000"/>
      </rPr>
      <t>resource</t>
    </r>
    <r>
      <rPr/>
      <t xml:space="preserve"> found in the </t>
    </r>
    <r>
      <rPr>
        <color rgb="FF000000"/>
      </rPr>
      <t>underworld</t>
    </r>
    <r>
      <rPr/>
      <t>. Limestone has a chance to drop.</t>
    </r>
  </si>
  <si>
    <t>Rock Slab</t>
  </si>
  <si>
    <t>Stone Fragments Pile</t>
  </si>
  <si>
    <t>WR023</t>
  </si>
  <si>
    <t>Stone Fragments Pile is a resource pile within the world of Calligo.</t>
  </si>
  <si>
    <t>3 to 4</t>
  </si>
  <si>
    <t>Tree Stumps</t>
  </si>
  <si>
    <t>WR024</t>
  </si>
  <si>
    <t>Tree Stump is a resource pile.</t>
  </si>
  <si>
    <t>Wheat Plant</t>
  </si>
  <si>
    <t>WR025</t>
  </si>
  <si>
    <t>Wheat Plant is a plant that grows on a Tilled Field . It requires Wheat Seed  to plant. Wheat plants take a total of 1.5 hours to grow. If Fertilizer  is applied on the field, the growth time is reduced by 33% thus taking roughly 1 hour to grow.</t>
  </si>
  <si>
    <t>Wild Cabbage Plant</t>
  </si>
  <si>
    <t>WR026</t>
  </si>
  <si>
    <t>Wild Cabbage Plant is a plant that can be found in the world of Calligo.</t>
  </si>
  <si>
    <t>Wild Flax Plant</t>
  </si>
  <si>
    <t>WR027</t>
  </si>
  <si>
    <t>Wild Flax Plant is a plant that can be found in the world of Calligo.</t>
  </si>
  <si>
    <t>Flax Seed</t>
  </si>
  <si>
    <t>Wild Wheat Plant</t>
  </si>
  <si>
    <t>WR028</t>
  </si>
  <si>
    <t>Wild Wheat Plant is a plant that can be found in the world of Calligo.</t>
  </si>
  <si>
    <t>Raw Resource</t>
  </si>
  <si>
    <t>Size</t>
  </si>
  <si>
    <t>RR001</t>
  </si>
  <si>
    <t>Small</t>
  </si>
  <si>
    <r>
      <rPr/>
      <t xml:space="preserve">Branches are raw </t>
    </r>
    <r>
      <rPr>
        <color rgb="FF000000"/>
      </rPr>
      <t>resources</t>
    </r>
    <r>
      <rPr/>
      <t xml:space="preserve">. They are among the most basic resources, used extensively throughout the </t>
    </r>
    <r>
      <rPr>
        <color rgb="FF000000"/>
      </rPr>
      <t>war</t>
    </r>
    <r>
      <rPr/>
      <t xml:space="preserve">. They can also be used as </t>
    </r>
    <r>
      <rPr>
        <color rgb="FF000000"/>
      </rPr>
      <t>fuel</t>
    </r>
    <r>
      <rPr/>
      <t xml:space="preserve">. Fuel duration is 30 seconds. </t>
    </r>
  </si>
  <si>
    <t>RR002</t>
  </si>
  <si>
    <t>Big</t>
  </si>
  <si>
    <t>Briar Spruce Log is a raw resource.</t>
  </si>
  <si>
    <t>RR003</t>
  </si>
  <si>
    <t>Briar Spruce Seeds are seeds dropped by chopping down Briar Spruce Tree IconResourceWood02.png, which players can plant to grow another briar spruce tree.</t>
  </si>
  <si>
    <t>RR004</t>
  </si>
  <si>
    <t>Cassiterite Fragments are raw resources.</t>
  </si>
  <si>
    <t>RR005</t>
  </si>
  <si>
    <t>Coal is a large chunk of coal that needs to be smashed before it can be smelted.</t>
  </si>
  <si>
    <t>RR006</t>
  </si>
  <si>
    <t>Crude Resin is a raw resource. Is not stackable.</t>
  </si>
  <si>
    <t>RR007</t>
  </si>
  <si>
    <t>Dead Wood Log is a raw resource.</t>
  </si>
  <si>
    <t>RR008</t>
  </si>
  <si>
    <t>Fibre is a raw resource. It is among the most basic resources, used extensively throughout the war. It can also be used as fuel. Fuel duration 60 seconds.</t>
  </si>
  <si>
    <t>RR009</t>
  </si>
  <si>
    <t>Flint is a raw resource.</t>
  </si>
  <si>
    <t>Iron ore</t>
  </si>
  <si>
    <t>RR010</t>
  </si>
  <si>
    <t>Iron Ore is a large chunk of iron that needs to be smashed before it can be smelted.</t>
  </si>
  <si>
    <t>RR011</t>
  </si>
  <si>
    <t>Iron Ore Fragment is a raw resource.</t>
  </si>
  <si>
    <t>RR012</t>
  </si>
  <si>
    <t>Lead Fragments are raw resources.</t>
  </si>
  <si>
    <t>RR013</t>
  </si>
  <si>
    <t>Limestone is a raw resource. With a 50% drop chance</t>
  </si>
  <si>
    <t>RR014</t>
  </si>
  <si>
    <t>Malachite Fragments are raw resources.</t>
  </si>
  <si>
    <t>RR015</t>
  </si>
  <si>
    <t>Malachite Ore is a large chunk of malachite that needs to be smashed before it can be smelted.</t>
  </si>
  <si>
    <t>RR016</t>
  </si>
  <si>
    <t>Mireland Beech Log is a raw resource.</t>
  </si>
  <si>
    <t>RR017</t>
  </si>
  <si>
    <t>Mireland Beech Seeds are seeds dropped by chopping down Mireland Beech Tree IconResourceWood01.png, which players can plant to grow another mireland beech tree.</t>
  </si>
  <si>
    <t>RR018</t>
  </si>
  <si>
    <t>North Astrian Pine Log is a raw resource.</t>
  </si>
  <si>
    <t>RR019</t>
  </si>
  <si>
    <t>North Astrian Pine Seeds are seeds dropped by chopping down North Astrian Pine Tree , which players can plant to grow another north astrian pine tree.</t>
  </si>
  <si>
    <t>RR020</t>
  </si>
  <si>
    <t>Pulverized Coal is a raw resource.</t>
  </si>
  <si>
    <t>RR021</t>
  </si>
  <si>
    <t>Rare Metals is a raw resource found in the lowest region in the Underworld. It is used to craft the highest tier of weapons and armour.</t>
  </si>
  <si>
    <t>RR022</t>
  </si>
  <si>
    <t>The Rock Slab is a resource and weapon. As a resource it can be broken down into fragments at the Smashing Plate. As a weapon it can be thrown/dropped onto targets to deal crushing damage.</t>
  </si>
  <si>
    <t>RR023</t>
  </si>
  <si>
    <t>Stone Off-Cuts are raw resources.</t>
  </si>
  <si>
    <t>RR024</t>
  </si>
  <si>
    <t>Water Buckets are a general purpose resource used by a range of professions. Such as watering Tilled Field , quenching tools at Quenching Station , cooking foods and putting out fires. It can be acquired from a Well  or active Canal Storage .</t>
  </si>
  <si>
    <t>Manufactured Resources</t>
  </si>
  <si>
    <t>Discription</t>
  </si>
  <si>
    <t>MR001</t>
  </si>
  <si>
    <t>Bronze Ingot is a manufactured resource. It is used for bronze smithing.</t>
  </si>
  <si>
    <t>MR002</t>
  </si>
  <si>
    <t>Chicken Feed is an animal feed that can be eaten by Chicken IconChicken.png. Players holding a chicken feed in hands can lure wild chickens.</t>
  </si>
  <si>
    <t>MR003</t>
  </si>
  <si>
    <t>Copper Nails are manufactured resources. They are mainly used for repairing tools, armours and weapons at Repair Bench  but also used for crafting certain items and building certain structures.</t>
  </si>
  <si>
    <t>MR004</t>
  </si>
  <si>
    <t>Dead Wood Planks are manufactured resources. Not stackable.</t>
  </si>
  <si>
    <t>MR005</t>
  </si>
  <si>
    <t>Equine Feed is an animal feed that can be eaten by Horse  or Donkey . Players holding equine feed in their hands can lure wild horses or donkeys. It restores 50% of an animal's hunger and also provides 0.5% health regeneration for 4 Minutes.</t>
  </si>
  <si>
    <t>MR006</t>
  </si>
  <si>
    <t>Fertilizer is a manufactured resource used on Tilled Field  to reduce crop growth time by 33%. Each application of fertilizer lasts for 33 minutes, regardless of the crops planted. It can be applied by equipping fertilizer in hand and clicking  while standing on the field. Once applied, the field’s surface will display a white ash covering, indicating it is fertilized.</t>
  </si>
  <si>
    <t>MR007</t>
  </si>
  <si>
    <t>Flour is a manufactured resource used for cooking food.</t>
  </si>
  <si>
    <t>MR008</t>
  </si>
  <si>
    <t>Gravel is a manufactured resource used for building Dirt Path .</t>
  </si>
  <si>
    <t>MR009</t>
  </si>
  <si>
    <t>Iron Ingot is a manufactured resource. It is used for iron smithing.</t>
  </si>
  <si>
    <t>MR010</t>
  </si>
  <si>
    <t>Lead Ingot is a manufactured resource. It is one of three trade resources, along with Linen  and Rosin .</t>
  </si>
  <si>
    <t>MR011</t>
  </si>
  <si>
    <t>Linen is a manufactured resource. It is one of three trade resources, along with Lead Ingot  and Rosin .</t>
  </si>
  <si>
    <t>MR012</t>
  </si>
  <si>
    <t>Mortar is a manufactured resource.</t>
  </si>
  <si>
    <t>MR013</t>
  </si>
  <si>
    <t>Reinforced Wood Planks are manufactured resources. Not stackable</t>
  </si>
  <si>
    <t>MR014</t>
  </si>
  <si>
    <t>Rosin is a manufactured resource. It is one of three trade resources, along with Lead Ingot  and Linen .</t>
  </si>
  <si>
    <t>MR015</t>
  </si>
  <si>
    <t>Sinew Bow String is a manufactured resource used for crafting bows.</t>
  </si>
  <si>
    <t>MR016</t>
  </si>
  <si>
    <t>Steel Ingot is a manufactured resource.</t>
  </si>
  <si>
    <t>MR017</t>
  </si>
  <si>
    <t>Stone Bricks are manufactured resources.</t>
  </si>
  <si>
    <t>MR018</t>
  </si>
  <si>
    <t>Tanned Thick Leather is a manufactured resource.</t>
  </si>
  <si>
    <t>MR019</t>
  </si>
  <si>
    <t>Thick Leather is a manufactured resource.</t>
  </si>
  <si>
    <t>MR020</t>
  </si>
  <si>
    <t>Thin Leather is a manufactured resource.</t>
  </si>
  <si>
    <t>MR021</t>
  </si>
  <si>
    <t>Tin Ingot is a manufactured resource. It is used in the production of longswords.</t>
  </si>
  <si>
    <t>MR022</t>
  </si>
  <si>
    <t>Wood Ash is a byproduct of burning fuel, with each fuel item converting to wood ash at a 1:1 ratio.</t>
  </si>
  <si>
    <t>MR023</t>
  </si>
  <si>
    <t>Wood Blank is a manufactured resource. Not stackable</t>
  </si>
  <si>
    <t>MR024</t>
  </si>
  <si>
    <t>Wood Planks are manufactured resources. They are among the most basic resources, used extensively throughout the war. They can also be used as fuel. Fuel Duration 180 Seconds. Not stackable</t>
  </si>
  <si>
    <t>Animal Resources</t>
  </si>
  <si>
    <t>Spoilage Duration</t>
  </si>
  <si>
    <t>AR001</t>
  </si>
  <si>
    <t>Animal Bones are resources.</t>
  </si>
  <si>
    <t>AR002</t>
  </si>
  <si>
    <t>Animal Fat is a resource obtained as loot from most animals. It is one of the common resources and used extensively throughout the war.</t>
  </si>
  <si>
    <t>AR003</t>
  </si>
  <si>
    <t>Animal Shite is a resource. It is harvested from Animal Shite Pile . Horse  and Donkey  produce animal shite while stationed in a Stable .</t>
  </si>
  <si>
    <t>AR004</t>
  </si>
  <si>
    <t>16 Minutes 40 Seconds</t>
  </si>
  <si>
    <t>Boar Meat is a raw food used in multiple food recipes. It decays over time and must be cooked before spoiling. Storing it in a Meat Rack IconMeatRack.png extends its shelf life.</t>
  </si>
  <si>
    <t>AR005</t>
  </si>
  <si>
    <t>A Chicken Egg is a resource that can be collected by having Chicken  in proximity to a Hen House . Each morning the chickens will lay 1 each consuming 1 Chicken Feed .</t>
  </si>
  <si>
    <t>AR006</t>
  </si>
  <si>
    <t>Common Meat is a raw food used in multiple food recipes, obtained as loot from most animals. It decays over time and must be cooked before spoiling. Storing it in a Meat Rack  extends its shelf life.</t>
  </si>
  <si>
    <t>AR007</t>
  </si>
  <si>
    <t>Deer Meat is a raw food used in multiple food recipes. It decays over time and must be cooked before spoiling. Storing it in a Meat Rack  extends its shelf life.</t>
  </si>
  <si>
    <t>AR008</t>
  </si>
  <si>
    <t>Feathers are a resource dropped by Chicken  or Dire Raven  when killed, or generated by chickens near a Hen House  containing Chicken Feed .</t>
  </si>
  <si>
    <t>AR009</t>
  </si>
  <si>
    <t>Rare Animal Bones are resources.</t>
  </si>
  <si>
    <t>AR010</t>
  </si>
  <si>
    <t>Strong Sinew is a resource.</t>
  </si>
  <si>
    <t>AR011</t>
  </si>
  <si>
    <t>Thick Pelt is a resource.</t>
  </si>
  <si>
    <t>AR012</t>
  </si>
  <si>
    <t>Thin Pelt is a resource.</t>
  </si>
  <si>
    <t>Plant Resources</t>
  </si>
  <si>
    <t>PR001</t>
  </si>
  <si>
    <t>Cabbage is a crop.</t>
  </si>
  <si>
    <t>PR002</t>
  </si>
  <si>
    <t>Cabbage Seed is a type of seed that can be planted into a Tilled Field. It can't be planted during winter.</t>
  </si>
  <si>
    <t>PR003</t>
  </si>
  <si>
    <t>Flax is a crop.</t>
  </si>
  <si>
    <t>PR004</t>
  </si>
  <si>
    <t>Flax Seed is a type of seed that can be planted into a Tilled Field . It can't be planted during winter.</t>
  </si>
  <si>
    <t>PR005</t>
  </si>
  <si>
    <t>Hemp Seed is a type of seed that can be planted into a Tilled Field . It can be planted only during sumor and lencten.</t>
  </si>
  <si>
    <t>PR006</t>
  </si>
  <si>
    <t>Strong Fibre is a crop.</t>
  </si>
  <si>
    <t>PR007</t>
  </si>
  <si>
    <t>Wheat Seed is a type of seed that can be planted into a Tilled Field IconFarm.png. It can't be planted during winter.</t>
  </si>
  <si>
    <t>PR008</t>
  </si>
  <si>
    <t>Wheat Sheaf is a crop.</t>
  </si>
  <si>
    <t>Smithy Resources</t>
  </si>
  <si>
    <t>SR001</t>
  </si>
  <si>
    <t>Bronze Armour Plating is a resource used in smithing to craft bronze equipment.</t>
  </si>
  <si>
    <t>SR002</t>
  </si>
  <si>
    <t>A Bronze Axe Blade is a resource used in smithing.</t>
  </si>
  <si>
    <t>SR003</t>
  </si>
  <si>
    <t>The Bronze Ingot (Heated) is the Forge  heated version of a Bronze Ingot . Heated bronze ingots will revert to regular bronze ingots once their temperature drops to zero.</t>
  </si>
  <si>
    <t>SR004</t>
  </si>
  <si>
    <t>A Bronze Sword Blade is a resource used in smithing.</t>
  </si>
  <si>
    <t>SR005</t>
  </si>
  <si>
    <t>A Bronze Tip Blade is a resource used in smithing.</t>
  </si>
  <si>
    <t>SR006</t>
  </si>
  <si>
    <t>A Bronze Tool Blade is a resource used in smithing.</t>
  </si>
  <si>
    <t>SR007</t>
  </si>
  <si>
    <t>Iron Armour Plating is a resource used in smithing to craft iron equipment.</t>
  </si>
  <si>
    <t>SR008</t>
  </si>
  <si>
    <t>An Iron Axe Blade is a resource used in smithing.</t>
  </si>
  <si>
    <t>SR009</t>
  </si>
  <si>
    <r>
      <rPr/>
      <t xml:space="preserve">The Iron Ingot (Heated) is the </t>
    </r>
    <r>
      <rPr>
        <color rgb="FF000000"/>
      </rPr>
      <t>Forge</t>
    </r>
    <r>
      <rPr/>
      <t xml:space="preserve">  heated version of a </t>
    </r>
    <r>
      <rPr>
        <color rgb="FF000000"/>
      </rPr>
      <t>Iron Ingot</t>
    </r>
    <r>
      <rPr/>
      <t xml:space="preserve"> . Heated iron ingots will revert to regular iron ingots once their temperature drops to zero.</t>
    </r>
  </si>
  <si>
    <t>SR010</t>
  </si>
  <si>
    <t>A Iron Sword Blade is a resource used in smithing.</t>
  </si>
  <si>
    <t>SR011</t>
  </si>
  <si>
    <t>A Iron Tool Blade is a resource used in smithing.</t>
  </si>
  <si>
    <t>SR012</t>
  </si>
  <si>
    <t>A Iron Weapon Tip is a resource used in smithing.</t>
  </si>
  <si>
    <t>Trophy Resources</t>
  </si>
  <si>
    <t>Ancient Lamen</t>
  </si>
  <si>
    <t>TR001</t>
  </si>
  <si>
    <t>47 Minutes 37 Seconds</t>
  </si>
  <si>
    <t>Ancient Lamen is a trophy item dropped by killing Ancients  players. It can be handed in at the bounty board inside any Town Keep , Fortress Keep , or Large Camp  to complete a bounty.</t>
  </si>
  <si>
    <t>Valuables</t>
  </si>
  <si>
    <t>TR002</t>
  </si>
  <si>
    <t>Valuables are a trophy item earned by burning an Farm House . It can be handed in at the bounty board inside a Town Keep  to complete a bounty.</t>
  </si>
  <si>
    <t>Bandit Mark</t>
  </si>
  <si>
    <t>TR003</t>
  </si>
  <si>
    <t>Bandit Mark is a trophy item. It can be handed in at the bounty board inside a Town Keep  to complete a bounty.</t>
  </si>
  <si>
    <t>Bat Wing</t>
  </si>
  <si>
    <t>TR004</t>
  </si>
  <si>
    <t>Bat Wing is a trophy item. It can be handed in at the bounty board inside a Town Keep IconTownhall.png to complete a bounty.</t>
  </si>
  <si>
    <t>Bear Claw</t>
  </si>
  <si>
    <t>TR005</t>
  </si>
  <si>
    <t>Bear Claw is a trophy item. It can be handed in at the bounty board inside a Town Keep  to complete a bounty.</t>
  </si>
  <si>
    <t>Boar Tusk</t>
  </si>
  <si>
    <t>TR006</t>
  </si>
  <si>
    <t>Boar Tusk is a trophy item. It can be handed in at the bounty board inside a Town Keep  to complete a bounty.</t>
  </si>
  <si>
    <t>Deer Antler</t>
  </si>
  <si>
    <t>TR007</t>
  </si>
  <si>
    <t>Deer Antler is a trophy item. It can be handed in at the bounty board inside a Town Keep  to complete a bounty.</t>
  </si>
  <si>
    <t>Dire Raven Wing</t>
  </si>
  <si>
    <t>TR008</t>
  </si>
  <si>
    <t>Dire Raven Wing is a trophy item. It can be handed in at the bounty board inside a Town Keep  to complete a bounty.</t>
  </si>
  <si>
    <t>Fortress Charters</t>
  </si>
  <si>
    <t>TR009</t>
  </si>
  <si>
    <t>Fortress Charters is a trophy item. It can be handed in at the bounty board inside any Town Keep , Fortress Keep , or Large Camp  to complete a bounty.</t>
  </si>
  <si>
    <t>Highwayman Cloak</t>
  </si>
  <si>
    <t>TR010</t>
  </si>
  <si>
    <t>Highwayman Cloak is a trophy item. It can be handed in at the bounty board inside a Town Keep to complete a bounty.</t>
  </si>
  <si>
    <t>Mánadýr Barb</t>
  </si>
  <si>
    <t>TR011</t>
  </si>
  <si>
    <t>Mánadýr Barb is a trophy item. It can be handed in at the bounty board inside a Town Keep to complete a bounty.</t>
  </si>
  <si>
    <t>Pagan Oath Ring</t>
  </si>
  <si>
    <t>TR012</t>
  </si>
  <si>
    <t>Pagan Oath Ring is a trophy item dropped by killing Pagans  players. It can be handed in at the bounty board inside any Town Keep , Fortress Keep , or Large Camp  to complete a bounty.</t>
  </si>
  <si>
    <t>Remnant Cingulum</t>
  </si>
  <si>
    <t>TR013</t>
  </si>
  <si>
    <t>Remnant Cingulum is a trophy item dropped by killing Remnants  players. It can be handed in at the bounty board inside any Town Keep , Fortress Keep , or Large Camp  to complete a bounty.</t>
  </si>
  <si>
    <t>TR014</t>
  </si>
  <si>
    <t>Religious Relics are a trophy item. It can be handed in at the bounty board inside a Town Keep  to complete a bounty.</t>
  </si>
  <si>
    <t>Stonwulfe Heart</t>
  </si>
  <si>
    <t>TR015</t>
  </si>
  <si>
    <t>Stonwulfe Heart is a trophy item. It can be handed in at the bounty board inside a Town Keep  to complete a bounty.</t>
  </si>
  <si>
    <t>Wolf Tooth</t>
  </si>
  <si>
    <t>TR016</t>
  </si>
  <si>
    <t>Wolf Tooth is a trophy item. It can be handed in at the bounty board inside a Town Keep IconTownhall.png to complete a bounty.</t>
  </si>
  <si>
    <t>Misc Resources</t>
  </si>
  <si>
    <t>Basic Saddle is a saddle. Before a Horse can be mounted, a basic saddle must be equipped. It also provides 3 stackable slots for item storage.</t>
  </si>
  <si>
    <t>Mill Harness is animal equipment used to attach a Horse  or Donkey  to a Power Mill .</t>
  </si>
  <si>
    <t>Pack Saddle is a saddle. It is used on a Donkey IconDonkey.png to transport items. Up to 6 stackable items can be stored on a donkey equipped with a pack saddle. Large items are not supported.</t>
  </si>
  <si>
    <t>Catapult Boulder is ammunition that can be fired from the Catapult CatapultIcon.png.</t>
  </si>
  <si>
    <t>Crude Shortbow Arrows are ammunition used by the Crude Shortbow</t>
  </si>
  <si>
    <t xml:space="preserve">Longbow Arrows are ammunition used by the Long Bow </t>
  </si>
  <si>
    <t>Scorpion Arrows are ammunition used by the Scorpion</t>
  </si>
  <si>
    <t>Shortbow Arrows are ammunition used by the Short Bow IconBow.png and the Superior Short Bow IconBow500.png</t>
  </si>
  <si>
    <t>Auxiliary Bowmen Kit</t>
  </si>
  <si>
    <t>Auxiliary Bowmen Kit is an item that can be unbundled to get 10 crude armour sets, 10 Crude Shortbow and 200 Crude Shortbow Arrows.</t>
  </si>
  <si>
    <t>Auxiliary Ration Supply</t>
  </si>
  <si>
    <t>Auxiliary Ration Supply is an item that can be unbundled to get 1000 Auxiliary Rations. Not a edible food source!</t>
  </si>
  <si>
    <t>Auxiliary Rations</t>
  </si>
  <si>
    <t>Auxiliary Rations can be acquired by unbundling Auxiliary Ration Supply . Not a food source, only for Aux Avatar storage!</t>
  </si>
  <si>
    <t>Auxiliary Spearmen Kit</t>
  </si>
  <si>
    <t>Auxiliary Spearmen Kit is an item that can be unbundled to get 10 crude armour sets and 10 Flint Spear.</t>
  </si>
  <si>
    <t>Auxiliary Swordsmen Kit</t>
  </si>
  <si>
    <t>Auxiliary Swordsmen Kit is an item that can be unbundled to get 10 crude armour sets, 10 Crude Short Sword and 10 Crude Shield.</t>
  </si>
  <si>
    <t>Bandage is a avatar recovery item, allowing wounded avatars to be treated.</t>
  </si>
  <si>
    <t>A Barrel is a movable storage container designed to compress multiple items into one transportable item, ideal for long-distance transportation via a Caravan , Resource Wagon  or Cargo Ship . Items can be packed and unpacked into barrels using the dedicated inventory slot found within a Town Keep , Fortress Keep  Homesteads , or Large Camp .</t>
  </si>
  <si>
    <t>Repair Materials are a resource used for repairing damaged structures and vehicles. To use them, equip a hammer and, with repair materials in your inventory, click  while facing the target to repair it, restoring a varying percentage of health depending on the target. Repairs cannot be performed if the target is on fire or an enemy is nearby.</t>
  </si>
  <si>
    <t>Silver is the currency of Calligo, used at the Town Marketplace  for trading, used for production at TownCraftingTable and as an upkeep cost for the Homesteads  and Keeps . Silver can be earned as bounty by exchanging trophies at bounty board.</t>
  </si>
</sst>
</file>

<file path=xl/styles.xml><?xml version="1.0" encoding="utf-8"?>
<styleSheet xmlns="http://schemas.openxmlformats.org/spreadsheetml/2006/main" xmlns:x14ac="http://schemas.microsoft.com/office/spreadsheetml/2009/9/ac" xmlns:mc="http://schemas.openxmlformats.org/markup-compatibility/2006">
  <fonts count="11">
    <font>
      <sz val="10.0"/>
      <color rgb="FF000000"/>
      <name val="Arial"/>
      <scheme val="minor"/>
    </font>
    <font>
      <sz val="36.0"/>
      <color theme="1"/>
      <name val="Arial"/>
      <scheme val="minor"/>
    </font>
    <font>
      <color theme="1"/>
      <name val="Arial"/>
      <scheme val="minor"/>
    </font>
    <font>
      <b/>
      <sz val="12.0"/>
      <color theme="1"/>
      <name val="Arial"/>
      <scheme val="minor"/>
    </font>
    <font>
      <b/>
      <color theme="1"/>
      <name val="Arial"/>
      <scheme val="minor"/>
    </font>
    <font>
      <color rgb="FFD9D9D9"/>
      <name val="Arial"/>
      <scheme val="minor"/>
    </font>
    <font>
      <color rgb="FFFFFFFF"/>
      <name val="Arial"/>
      <scheme val="minor"/>
    </font>
    <font>
      <u/>
      <color rgb="FF0000FF"/>
    </font>
    <font>
      <color theme="1"/>
      <name val="Arial"/>
    </font>
    <font>
      <i/>
      <color theme="1"/>
      <name val="Arial"/>
      <scheme val="minor"/>
    </font>
    <font>
      <u/>
      <color rgb="FF0000FF"/>
    </font>
  </fonts>
  <fills count="10">
    <fill>
      <patternFill patternType="none"/>
    </fill>
    <fill>
      <patternFill patternType="lightGray"/>
    </fill>
    <fill>
      <patternFill patternType="solid">
        <fgColor rgb="FFD9D9D9"/>
        <bgColor rgb="FFD9D9D9"/>
      </patternFill>
    </fill>
    <fill>
      <patternFill patternType="solid">
        <fgColor rgb="FFF4CCCC"/>
        <bgColor rgb="FFF4CCCC"/>
      </patternFill>
    </fill>
    <fill>
      <patternFill patternType="solid">
        <fgColor rgb="FFFFF2CC"/>
        <bgColor rgb="FFFFF2CC"/>
      </patternFill>
    </fill>
    <fill>
      <patternFill patternType="solid">
        <fgColor rgb="FFD9EAD3"/>
        <bgColor rgb="FFD9EAD3"/>
      </patternFill>
    </fill>
    <fill>
      <patternFill patternType="solid">
        <fgColor rgb="FFF3F3F3"/>
        <bgColor rgb="FFF3F3F3"/>
      </patternFill>
    </fill>
    <fill>
      <patternFill patternType="solid">
        <fgColor rgb="FFFFFFFF"/>
        <bgColor rgb="FFFFFFFF"/>
      </patternFill>
    </fill>
    <fill>
      <patternFill patternType="solid">
        <fgColor rgb="FFFFE6DD"/>
        <bgColor rgb="FFFFE6DD"/>
      </patternFill>
    </fill>
    <fill>
      <patternFill patternType="solid">
        <fgColor rgb="FFF8F2EB"/>
        <bgColor rgb="FFF8F2EB"/>
      </patternFill>
    </fill>
  </fills>
  <borders count="16">
    <border/>
    <border>
      <right style="thin">
        <color rgb="FF000000"/>
      </right>
      <bottom style="thin">
        <color rgb="FF000000"/>
      </bottom>
    </border>
    <border>
      <top style="thin">
        <color rgb="FF000000"/>
      </top>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border>
    <border>
      <left style="thin">
        <color rgb="FF000000"/>
      </left>
    </border>
    <border>
      <left style="thin">
        <color rgb="FF000000"/>
      </left>
      <right style="thin">
        <color rgb="FF000000"/>
      </right>
      <top style="thin">
        <color rgb="FF000000"/>
      </top>
    </border>
    <border>
      <left style="thin">
        <color rgb="FF000000"/>
      </left>
      <right style="thin">
        <color rgb="FF000000"/>
      </right>
      <bottom style="thin">
        <color rgb="FF000000"/>
      </bottom>
    </border>
    <border>
      <bottom style="thin">
        <color rgb="FF000000"/>
      </bottom>
    </border>
    <border>
      <right style="thin">
        <color rgb="FF000000"/>
      </right>
      <top style="thin">
        <color rgb="FF000000"/>
      </top>
    </border>
    <border>
      <top style="thin">
        <color rgb="FF000000"/>
      </top>
    </border>
    <border>
      <right style="thin">
        <color rgb="FF000000"/>
      </right>
    </border>
    <border>
      <left style="thin">
        <color rgb="FF000000"/>
      </left>
      <bottom style="thin">
        <color rgb="FF000000"/>
      </bottom>
    </border>
    <border>
      <left style="thin">
        <color rgb="FF000000"/>
      </left>
      <top style="thin">
        <color rgb="FF000000"/>
      </top>
    </border>
  </borders>
  <cellStyleXfs count="1">
    <xf borderId="0" fillId="0" fontId="0" numFmtId="0" applyAlignment="1" applyFont="1"/>
  </cellStyleXfs>
  <cellXfs count="86">
    <xf borderId="0" fillId="0" fontId="0" numFmtId="0" xfId="0" applyAlignment="1" applyFont="1">
      <alignment readingOrder="0" shrinkToFit="0" vertical="bottom" wrapText="0"/>
    </xf>
    <xf borderId="0" fillId="0" fontId="1" numFmtId="0" xfId="0" applyAlignment="1" applyFont="1">
      <alignment readingOrder="0"/>
    </xf>
    <xf borderId="1" fillId="2" fontId="2" numFmtId="0" xfId="0" applyBorder="1" applyFill="1" applyFont="1"/>
    <xf borderId="2" fillId="3" fontId="3" numFmtId="0" xfId="0" applyAlignment="1" applyBorder="1" applyFill="1" applyFont="1">
      <alignment horizontal="center" readingOrder="0"/>
    </xf>
    <xf borderId="3" fillId="4" fontId="2" numFmtId="0" xfId="0" applyBorder="1" applyFill="1" applyFont="1"/>
    <xf borderId="2" fillId="4" fontId="2" numFmtId="0" xfId="0" applyBorder="1" applyFill="1" applyFont="1"/>
    <xf borderId="4" fillId="4" fontId="2" numFmtId="0" xfId="0" applyBorder="1" applyFill="1" applyFont="1"/>
    <xf borderId="0" fillId="2" fontId="2" numFmtId="0" xfId="0" applyFill="1" applyFont="1"/>
    <xf borderId="5" fillId="3" fontId="3" numFmtId="0" xfId="0" applyAlignment="1" applyBorder="1" applyFill="1" applyFont="1">
      <alignment horizontal="center" readingOrder="0"/>
    </xf>
    <xf borderId="5" fillId="5" fontId="3" numFmtId="0" xfId="0" applyAlignment="1" applyBorder="1" applyFill="1" applyFont="1">
      <alignment horizontal="center" readingOrder="0"/>
    </xf>
    <xf borderId="6" fillId="0" fontId="4" numFmtId="0" xfId="0" applyAlignment="1" applyBorder="1" applyFont="1">
      <alignment horizontal="right" readingOrder="0"/>
    </xf>
    <xf borderId="0" fillId="0" fontId="2" numFmtId="0" xfId="0" applyAlignment="1" applyFont="1">
      <alignment readingOrder="0"/>
    </xf>
    <xf borderId="7" fillId="0" fontId="2" numFmtId="10" xfId="0" applyAlignment="1" applyBorder="1" applyFont="1" applyNumberFormat="1">
      <alignment readingOrder="0"/>
    </xf>
    <xf borderId="8" fillId="0" fontId="2" numFmtId="10" xfId="0" applyAlignment="1" applyBorder="1" applyFont="1" applyNumberFormat="1">
      <alignment readingOrder="0"/>
    </xf>
    <xf borderId="8" fillId="0" fontId="2" numFmtId="0" xfId="0" applyAlignment="1" applyBorder="1" applyFont="1">
      <alignment horizontal="right" readingOrder="0"/>
    </xf>
    <xf borderId="5" fillId="6" fontId="4" numFmtId="0" xfId="0" applyAlignment="1" applyBorder="1" applyFill="1" applyFont="1">
      <alignment horizontal="center" readingOrder="0"/>
    </xf>
    <xf borderId="5" fillId="0" fontId="2" numFmtId="0" xfId="0" applyAlignment="1" applyBorder="1" applyFont="1">
      <alignment horizontal="center" readingOrder="0"/>
    </xf>
    <xf borderId="6" fillId="0" fontId="2" numFmtId="10" xfId="0" applyAlignment="1" applyBorder="1" applyFont="1" applyNumberFormat="1">
      <alignment readingOrder="0"/>
    </xf>
    <xf borderId="6" fillId="0" fontId="2" numFmtId="0" xfId="0" applyAlignment="1" applyBorder="1" applyFont="1">
      <alignment horizontal="right" readingOrder="0"/>
    </xf>
    <xf borderId="0" fillId="0" fontId="2" numFmtId="0" xfId="0" applyAlignment="1" applyFont="1">
      <alignment horizontal="right" readingOrder="0"/>
    </xf>
    <xf borderId="7" fillId="0" fontId="2" numFmtId="0" xfId="0" applyAlignment="1" applyBorder="1" applyFont="1">
      <alignment horizontal="center" readingOrder="0"/>
    </xf>
    <xf borderId="6" fillId="0" fontId="2" numFmtId="0" xfId="0" applyAlignment="1" applyBorder="1" applyFont="1">
      <alignment horizontal="center" readingOrder="0"/>
    </xf>
    <xf borderId="8" fillId="0" fontId="2" numFmtId="0" xfId="0" applyAlignment="1" applyBorder="1" applyFont="1">
      <alignment horizontal="center" readingOrder="0"/>
    </xf>
    <xf borderId="9" fillId="0" fontId="4" numFmtId="0" xfId="0" applyAlignment="1" applyBorder="1" applyFont="1">
      <alignment horizontal="right" readingOrder="0"/>
    </xf>
    <xf borderId="10" fillId="0" fontId="2" numFmtId="0" xfId="0" applyAlignment="1" applyBorder="1" applyFont="1">
      <alignment readingOrder="0"/>
    </xf>
    <xf borderId="9" fillId="0" fontId="2" numFmtId="0" xfId="0" applyAlignment="1" applyBorder="1" applyFont="1">
      <alignment horizontal="right" readingOrder="0"/>
    </xf>
    <xf borderId="9" fillId="0" fontId="2" numFmtId="10" xfId="0" applyAlignment="1" applyBorder="1" applyFont="1" applyNumberFormat="1">
      <alignment horizontal="right" readingOrder="0"/>
    </xf>
    <xf borderId="7" fillId="3" fontId="2" numFmtId="0" xfId="0" applyAlignment="1" applyBorder="1" applyFill="1" applyFont="1">
      <alignment horizontal="center" readingOrder="0"/>
    </xf>
    <xf borderId="6" fillId="3" fontId="2" numFmtId="0" xfId="0" applyAlignment="1" applyBorder="1" applyFill="1" applyFont="1">
      <alignment horizontal="center" readingOrder="0"/>
    </xf>
    <xf borderId="9" fillId="0" fontId="2" numFmtId="0" xfId="0" applyAlignment="1" applyBorder="1" applyFont="1">
      <alignment horizontal="center" readingOrder="0"/>
    </xf>
    <xf borderId="8" fillId="0" fontId="4" numFmtId="0" xfId="0" applyAlignment="1" applyBorder="1" applyFont="1">
      <alignment horizontal="right" readingOrder="0"/>
    </xf>
    <xf borderId="11" fillId="0" fontId="2" numFmtId="9" xfId="0" applyAlignment="1" applyBorder="1" applyFont="1" applyNumberFormat="1">
      <alignment readingOrder="0"/>
    </xf>
    <xf borderId="12" fillId="2" fontId="2" numFmtId="0" xfId="0" applyBorder="1" applyFill="1" applyFont="1"/>
    <xf borderId="13" fillId="0" fontId="2" numFmtId="1" xfId="0" applyBorder="1" applyFont="1" applyNumberFormat="1"/>
    <xf borderId="14" fillId="0" fontId="2" numFmtId="0" xfId="0" applyAlignment="1" applyBorder="1" applyFont="1">
      <alignment horizontal="center" readingOrder="0"/>
    </xf>
    <xf borderId="7" fillId="2" fontId="5" numFmtId="0" xfId="0" applyAlignment="1" applyBorder="1" applyFill="1" applyFont="1">
      <alignment horizontal="center"/>
    </xf>
    <xf borderId="1" fillId="0" fontId="2" numFmtId="9" xfId="0" applyBorder="1" applyFont="1" applyNumberFormat="1"/>
    <xf borderId="3" fillId="6" fontId="4" numFmtId="0" xfId="0" applyAlignment="1" applyBorder="1" applyFill="1" applyFont="1">
      <alignment horizontal="center" readingOrder="0"/>
    </xf>
    <xf borderId="15" fillId="7" fontId="2" numFmtId="0" xfId="0" applyBorder="1" applyFill="1" applyFont="1"/>
    <xf borderId="8" fillId="0" fontId="2" numFmtId="0" xfId="0" applyAlignment="1" applyBorder="1" applyFont="1">
      <alignment horizontal="center"/>
    </xf>
    <xf borderId="0" fillId="0" fontId="2" numFmtId="0" xfId="0" applyFont="1"/>
    <xf borderId="6" fillId="0" fontId="2" numFmtId="0" xfId="0" applyAlignment="1" applyBorder="1" applyFont="1">
      <alignment horizontal="center"/>
    </xf>
    <xf borderId="9" fillId="0" fontId="2" numFmtId="0" xfId="0" applyAlignment="1" applyBorder="1" applyFont="1">
      <alignment horizontal="center"/>
    </xf>
    <xf borderId="8" fillId="0" fontId="2" numFmtId="4" xfId="0" applyBorder="1" applyFont="1" applyNumberFormat="1"/>
    <xf borderId="0" fillId="0" fontId="6" numFmtId="0" xfId="0" applyAlignment="1" applyFont="1">
      <alignment readingOrder="0"/>
    </xf>
    <xf borderId="6" fillId="0" fontId="2" numFmtId="4" xfId="0" applyBorder="1" applyFont="1" applyNumberFormat="1"/>
    <xf borderId="9" fillId="0" fontId="2" numFmtId="2" xfId="0" applyBorder="1" applyFont="1" applyNumberFormat="1"/>
    <xf borderId="5" fillId="0" fontId="4" numFmtId="0" xfId="0" applyAlignment="1" applyBorder="1" applyFont="1">
      <alignment horizontal="center" readingOrder="0"/>
    </xf>
    <xf borderId="0" fillId="0" fontId="4" numFmtId="0" xfId="0" applyAlignment="1" applyFont="1">
      <alignment horizontal="center" readingOrder="0"/>
    </xf>
    <xf borderId="5" fillId="0" fontId="4" numFmtId="0" xfId="0" applyAlignment="1" applyBorder="1" applyFont="1">
      <alignment horizontal="center" readingOrder="0"/>
    </xf>
    <xf borderId="0" fillId="0" fontId="4" numFmtId="0" xfId="0" applyAlignment="1" applyFont="1">
      <alignment horizontal="center" readingOrder="0"/>
    </xf>
    <xf borderId="0" fillId="0" fontId="4" numFmtId="0" xfId="0" applyAlignment="1" applyFont="1">
      <alignment horizontal="center" readingOrder="0"/>
    </xf>
    <xf borderId="0" fillId="0" fontId="2" numFmtId="0" xfId="0" applyAlignment="1" applyFont="1">
      <alignment readingOrder="0"/>
    </xf>
    <xf borderId="0" fillId="0" fontId="2" numFmtId="10" xfId="0" applyAlignment="1" applyFont="1" applyNumberFormat="1">
      <alignment readingOrder="0"/>
    </xf>
    <xf borderId="0" fillId="0" fontId="2" numFmtId="9" xfId="0" applyAlignment="1" applyFont="1" applyNumberFormat="1">
      <alignment readingOrder="0"/>
    </xf>
    <xf borderId="0" fillId="0" fontId="7" numFmtId="0" xfId="0" applyFont="1"/>
    <xf borderId="0" fillId="0" fontId="2" numFmtId="0" xfId="0" applyFont="1"/>
    <xf borderId="0" fillId="0" fontId="2" numFmtId="0" xfId="0" applyAlignment="1" applyFont="1">
      <alignment readingOrder="0"/>
    </xf>
    <xf borderId="0" fillId="8" fontId="8" numFmtId="0" xfId="0" applyAlignment="1" applyFill="1" applyFont="1">
      <alignment readingOrder="0" vertical="bottom"/>
    </xf>
    <xf borderId="0" fillId="8" fontId="8" numFmtId="0" xfId="0" applyAlignment="1" applyFill="1" applyFont="1">
      <alignment vertical="bottom"/>
    </xf>
    <xf borderId="0" fillId="8" fontId="8" numFmtId="0" xfId="0" applyAlignment="1" applyFill="1" applyFont="1">
      <alignment horizontal="right" readingOrder="0" vertical="bottom"/>
    </xf>
    <xf borderId="0" fillId="8" fontId="8" numFmtId="9" xfId="0" applyAlignment="1" applyFill="1" applyFont="1" applyNumberFormat="1">
      <alignment readingOrder="0" vertical="bottom"/>
    </xf>
    <xf borderId="0" fillId="0" fontId="8" numFmtId="0" xfId="0" applyAlignment="1" applyFont="1">
      <alignment vertical="bottom"/>
    </xf>
    <xf borderId="0" fillId="0" fontId="8" numFmtId="0" xfId="0" applyAlignment="1" applyFont="1">
      <alignment readingOrder="0" vertical="bottom"/>
    </xf>
    <xf borderId="0" fillId="0" fontId="8" numFmtId="0" xfId="0" applyAlignment="1" applyFont="1">
      <alignment horizontal="right" readingOrder="0" vertical="bottom"/>
    </xf>
    <xf borderId="0" fillId="0" fontId="8" numFmtId="9" xfId="0" applyAlignment="1" applyFont="1" applyNumberFormat="1">
      <alignment readingOrder="0" vertical="bottom"/>
    </xf>
    <xf borderId="0" fillId="3" fontId="2" numFmtId="10" xfId="0" applyAlignment="1" applyFill="1" applyFont="1" applyNumberFormat="1">
      <alignment horizontal="center" readingOrder="0"/>
    </xf>
    <xf borderId="0" fillId="0" fontId="2" numFmtId="9" xfId="0" applyAlignment="1" applyFont="1" applyNumberFormat="1">
      <alignment readingOrder="0"/>
    </xf>
    <xf borderId="0" fillId="3" fontId="2" numFmtId="9" xfId="0" applyAlignment="1" applyFill="1" applyFont="1" applyNumberFormat="1">
      <alignment horizontal="center" readingOrder="0"/>
    </xf>
    <xf borderId="0" fillId="9" fontId="2" numFmtId="0" xfId="0" applyAlignment="1" applyFill="1" applyFont="1">
      <alignment readingOrder="0"/>
    </xf>
    <xf borderId="0" fillId="0" fontId="2" numFmtId="0" xfId="0" applyAlignment="1" applyFont="1">
      <alignment readingOrder="0"/>
    </xf>
    <xf borderId="0" fillId="0" fontId="9" numFmtId="0" xfId="0" applyAlignment="1" applyFont="1">
      <alignment readingOrder="0"/>
    </xf>
    <xf borderId="0" fillId="0" fontId="2" numFmtId="0" xfId="0" applyAlignment="1" applyFont="1">
      <alignment horizontal="center" readingOrder="0"/>
    </xf>
    <xf borderId="0" fillId="0" fontId="2" numFmtId="49" xfId="0" applyAlignment="1" applyFont="1" applyNumberFormat="1">
      <alignment horizontal="center" readingOrder="0"/>
    </xf>
    <xf borderId="5" fillId="0" fontId="4" numFmtId="0" xfId="0" applyAlignment="1" applyBorder="1" applyFont="1">
      <alignment readingOrder="0"/>
    </xf>
    <xf borderId="0" fillId="0" fontId="2" numFmtId="10" xfId="0" applyAlignment="1" applyFont="1" applyNumberFormat="1">
      <alignment readingOrder="0"/>
    </xf>
    <xf borderId="0" fillId="0" fontId="2" numFmtId="10" xfId="0" applyFont="1" applyNumberFormat="1"/>
    <xf borderId="0" fillId="0" fontId="8" numFmtId="0" xfId="0" applyAlignment="1" applyFont="1">
      <alignment horizontal="right" vertical="bottom"/>
    </xf>
    <xf borderId="5" fillId="0" fontId="4" numFmtId="0" xfId="0" applyAlignment="1" applyBorder="1" applyFont="1">
      <alignment horizontal="left" readingOrder="0"/>
    </xf>
    <xf borderId="0" fillId="0" fontId="2" numFmtId="0" xfId="0" applyAlignment="1" applyFont="1">
      <alignment horizontal="left"/>
    </xf>
    <xf borderId="0" fillId="0" fontId="2" numFmtId="0" xfId="0" applyAlignment="1" applyFont="1">
      <alignment horizontal="left" readingOrder="0"/>
    </xf>
    <xf borderId="0" fillId="0" fontId="2" numFmtId="1" xfId="0" applyAlignment="1" applyFont="1" applyNumberFormat="1">
      <alignment horizontal="left" readingOrder="0"/>
    </xf>
    <xf borderId="0" fillId="0" fontId="2" numFmtId="0" xfId="0" applyAlignment="1" applyFont="1">
      <alignment horizontal="left"/>
    </xf>
    <xf borderId="0" fillId="0" fontId="2" numFmtId="1" xfId="0" applyAlignment="1" applyFont="1" applyNumberFormat="1">
      <alignment horizontal="left"/>
    </xf>
    <xf borderId="0" fillId="0" fontId="10" numFmtId="0" xfId="0" applyAlignment="1" applyFont="1">
      <alignment readingOrder="0"/>
    </xf>
    <xf borderId="0" fillId="0" fontId="2" numFmtId="1" xfId="0" applyFont="1" applyNumberFormat="1"/>
  </cellXfs>
  <cellStyles count="1">
    <cellStyle xfId="0" name="Normal" builtinId="0"/>
  </cellStyles>
  <dxfs count="8">
    <dxf>
      <font/>
      <fill>
        <patternFill patternType="none"/>
      </fill>
      <border/>
    </dxf>
    <dxf>
      <font/>
      <fill>
        <patternFill patternType="solid">
          <fgColor rgb="FFF46524"/>
          <bgColor rgb="FFF46524"/>
        </patternFill>
      </fill>
      <border/>
    </dxf>
    <dxf>
      <font/>
      <fill>
        <patternFill patternType="solid">
          <fgColor rgb="FFFFFFFF"/>
          <bgColor rgb="FFFFFFFF"/>
        </patternFill>
      </fill>
      <border/>
    </dxf>
    <dxf>
      <font/>
      <fill>
        <patternFill patternType="solid">
          <fgColor rgb="FFFFE6DD"/>
          <bgColor rgb="FFFFE6DD"/>
        </patternFill>
      </fill>
      <border/>
    </dxf>
    <dxf>
      <font/>
      <fill>
        <patternFill patternType="solid">
          <fgColor rgb="FF78909C"/>
          <bgColor rgb="FF78909C"/>
        </patternFill>
      </fill>
      <border/>
    </dxf>
    <dxf>
      <font/>
      <fill>
        <patternFill patternType="solid">
          <fgColor rgb="FFEBEFF1"/>
          <bgColor rgb="FFEBEFF1"/>
        </patternFill>
      </fill>
      <border/>
    </dxf>
    <dxf>
      <font/>
      <fill>
        <patternFill patternType="solid">
          <fgColor rgb="FFCCA677"/>
          <bgColor rgb="FFCCA677"/>
        </patternFill>
      </fill>
      <border/>
    </dxf>
    <dxf>
      <font/>
      <fill>
        <patternFill patternType="solid">
          <fgColor rgb="FFF8F2EB"/>
          <bgColor rgb="FFF8F2EB"/>
        </patternFill>
      </fill>
      <border/>
    </dxf>
  </dxfs>
  <tableStyles count="3">
    <tableStyle count="3" pivot="0" name="Armour-style">
      <tableStyleElement dxfId="1" type="headerRow"/>
      <tableStyleElement dxfId="2" type="firstRowStripe"/>
      <tableStyleElement dxfId="3" type="secondRowStripe"/>
    </tableStyle>
    <tableStyle count="3" pivot="0" name="Tool-style">
      <tableStyleElement dxfId="4" type="headerRow"/>
      <tableStyleElement dxfId="2" type="firstRowStripe"/>
      <tableStyleElement dxfId="5" type="secondRowStripe"/>
    </tableStyle>
    <tableStyle count="3" pivot="0" name="Weapon-style">
      <tableStyleElement dxfId="6" type="headerRow"/>
      <tableStyleElement dxfId="2" type="firstRowStripe"/>
      <tableStyleElement dxfId="7"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6" Type="http://schemas.openxmlformats.org/officeDocument/2006/relationships/worksheet" Target="worksheets/sheet1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942975</xdr:colOff>
      <xdr:row>0</xdr:row>
      <xdr:rowOff>0</xdr:rowOff>
    </xdr:from>
    <xdr:ext cx="2895600" cy="2895600"/>
    <xdr:pic>
      <xdr:nvPicPr>
        <xdr:cNvPr id="0" name="image1.png" title="Bild"/>
        <xdr:cNvPicPr preferRelativeResize="0"/>
      </xdr:nvPicPr>
      <xdr:blipFill>
        <a:blip cstate="print" r:embed="rId1"/>
        <a:stretch>
          <a:fillRect/>
        </a:stretch>
      </xdr:blipFill>
      <xdr:spPr>
        <a:prstGeom prst="rect">
          <a:avLst/>
        </a:prstGeom>
        <a:noFill/>
      </xdr:spPr>
    </xdr:pic>
    <xdr:clientData fLocksWithSheet="0"/>
  </xdr:oneCellAnchor>
  <xdr:oneCellAnchor>
    <xdr:from>
      <xdr:col>13</xdr:col>
      <xdr:colOff>933450</xdr:colOff>
      <xdr:row>0</xdr:row>
      <xdr:rowOff>0</xdr:rowOff>
    </xdr:from>
    <xdr:ext cx="2895600" cy="2895600"/>
    <xdr:pic>
      <xdr:nvPicPr>
        <xdr:cNvPr id="0" name="image1.png" title="Bild"/>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A1:H17" displayName="Table_1" name="Table_1" id="1">
  <tableColumns count="8">
    <tableColumn name="Column1" id="1"/>
    <tableColumn name="Column2" id="2"/>
    <tableColumn name="Column3" id="3"/>
    <tableColumn name="Column4" id="4"/>
    <tableColumn name="Column5" id="5"/>
    <tableColumn name="Column6" id="6"/>
    <tableColumn name="Column7" id="7"/>
    <tableColumn name="Column8" id="8"/>
  </tableColumns>
  <tableStyleInfo name="Armour-style" showColumnStripes="0" showFirstColumn="1" showLastColumn="1" showRowStripes="1"/>
  <extLst>
    <ext uri="GoogleSheetsCustomDataVersion1">
      <go:sheetsCustomData xmlns:go="http://customooxmlschemas.google.com/" headerRowCount="1"/>
    </ext>
  </extLst>
</table>
</file>

<file path=xl/tables/table2.xml><?xml version="1.0" encoding="utf-8"?>
<table xmlns="http://schemas.openxmlformats.org/spreadsheetml/2006/main" ref="A1:D19" displayName="Table_2" name="Table_2" id="2">
  <tableColumns count="4">
    <tableColumn name="ID" id="1"/>
    <tableColumn name="Type" id="2"/>
    <tableColumn name="Effectiveness" id="3"/>
    <tableColumn name="Durability" id="4"/>
  </tableColumns>
  <tableStyleInfo name="Tool-style" showColumnStripes="0" showFirstColumn="1" showLastColumn="1" showRowStripes="1"/>
</table>
</file>

<file path=xl/tables/table3.xml><?xml version="1.0" encoding="utf-8"?>
<table xmlns="http://schemas.openxmlformats.org/spreadsheetml/2006/main" headerRowCount="0" ref="A1:AB26" displayName="Table_3" name="Table_3" id="3">
  <tableColumns count="28">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s>
  <tableStyleInfo name="Weapon-style" showColumnStripes="0" showFirstColumn="1" showLastColumn="1" showRowStripes="1"/>
  <extLst>
    <ext uri="GoogleSheetsCustomDataVersion1">
      <go:sheetsCustomData xmlns:go="http://customooxmlschemas.google.com/" headerRowCount="1"/>
    </ext>
  </extLst>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anvilempires.wiki.gg/wiki/Bow" TargetMode="External"/><Relationship Id="rId2" Type="http://schemas.openxmlformats.org/officeDocument/2006/relationships/hyperlink" Target="https://anvilempires.wiki.gg/wiki/Crude_Shortbow_Arrows" TargetMode="External"/><Relationship Id="rId3" Type="http://schemas.openxmlformats.org/officeDocument/2006/relationships/hyperlink" Target="https://anvilempires.wiki.gg/wiki/Damage_Types" TargetMode="External"/><Relationship Id="rId4" Type="http://schemas.openxmlformats.org/officeDocument/2006/relationships/drawing" Target="../drawings/drawing3.xml"/><Relationship Id="rId6"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hyperlink" Target="https://anvilempires.wiki.gg/wiki/Damage_Types" TargetMode="External"/><Relationship Id="rId2"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3" Type="http://schemas.openxmlformats.org/officeDocument/2006/relationships/table" Target="../tables/table2.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3" Type="http://schemas.openxmlformats.org/officeDocument/2006/relationships/table" Target="../tables/table3.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20" Type="http://schemas.openxmlformats.org/officeDocument/2006/relationships/hyperlink" Target="https://anvilempires.wiki.gg/wiki/Structure" TargetMode="External"/><Relationship Id="rId22" Type="http://schemas.openxmlformats.org/officeDocument/2006/relationships/hyperlink" Target="https://anvilempires.wiki.gg/wiki/Structure" TargetMode="External"/><Relationship Id="rId21" Type="http://schemas.openxmlformats.org/officeDocument/2006/relationships/hyperlink" Target="https://anvilempires.wiki.gg/wiki/Smithing" TargetMode="External"/><Relationship Id="rId24" Type="http://schemas.openxmlformats.org/officeDocument/2006/relationships/hyperlink" Target="https://anvilempires.wiki.gg/wiki/Smashing_Plate" TargetMode="External"/><Relationship Id="rId23" Type="http://schemas.openxmlformats.org/officeDocument/2006/relationships/hyperlink" Target="https://anvilempires.wiki.gg/wiki/Structure" TargetMode="External"/><Relationship Id="rId1" Type="http://schemas.openxmlformats.org/officeDocument/2006/relationships/hyperlink" Target="https://anvilempires.wiki.gg/wiki/Structure" TargetMode="External"/><Relationship Id="rId2" Type="http://schemas.openxmlformats.org/officeDocument/2006/relationships/hyperlink" Target="https://anvilempires.wiki.gg/wiki/Structure" TargetMode="External"/><Relationship Id="rId3" Type="http://schemas.openxmlformats.org/officeDocument/2006/relationships/hyperlink" Target="https://anvilempires.wiki.gg/wiki/Homestead" TargetMode="External"/><Relationship Id="rId4" Type="http://schemas.openxmlformats.org/officeDocument/2006/relationships/hyperlink" Target="https://anvilempires.wiki.gg/wiki/Power_Connection_Rope" TargetMode="External"/><Relationship Id="rId9" Type="http://schemas.openxmlformats.org/officeDocument/2006/relationships/hyperlink" Target="https://anvilempires.wiki.gg/wiki/Structure" TargetMode="External"/><Relationship Id="rId26" Type="http://schemas.openxmlformats.org/officeDocument/2006/relationships/hyperlink" Target="https://anvilempires.wiki.gg/wiki/Structure" TargetMode="External"/><Relationship Id="rId25" Type="http://schemas.openxmlformats.org/officeDocument/2006/relationships/hyperlink" Target="https://anvilempires.wiki.gg/wiki/Structure" TargetMode="External"/><Relationship Id="rId28" Type="http://schemas.openxmlformats.org/officeDocument/2006/relationships/hyperlink" Target="https://anvilempires.wiki.gg/wiki/Foundation" TargetMode="External"/><Relationship Id="rId27" Type="http://schemas.openxmlformats.org/officeDocument/2006/relationships/hyperlink" Target="https://anvilempires.wiki.gg/wiki/Structure" TargetMode="External"/><Relationship Id="rId5" Type="http://schemas.openxmlformats.org/officeDocument/2006/relationships/hyperlink" Target="https://anvilempires.wiki.gg/wiki/Structure" TargetMode="External"/><Relationship Id="rId6" Type="http://schemas.openxmlformats.org/officeDocument/2006/relationships/hyperlink" Target="https://anvilempires.wiki.gg/wiki/Water_Bucket" TargetMode="External"/><Relationship Id="rId29" Type="http://schemas.openxmlformats.org/officeDocument/2006/relationships/hyperlink" Target="https://anvilempires.wiki.gg/wiki/Structure" TargetMode="External"/><Relationship Id="rId7" Type="http://schemas.openxmlformats.org/officeDocument/2006/relationships/hyperlink" Target="https://anvilempires.wiki.gg/wiki/Structure" TargetMode="External"/><Relationship Id="rId8" Type="http://schemas.openxmlformats.org/officeDocument/2006/relationships/hyperlink" Target="https://anvilempires.wiki.gg/wiki/Structure" TargetMode="External"/><Relationship Id="rId31" Type="http://schemas.openxmlformats.org/officeDocument/2006/relationships/hyperlink" Target="https://anvilempires.wiki.gg/wiki/Structure" TargetMode="External"/><Relationship Id="rId30" Type="http://schemas.openxmlformats.org/officeDocument/2006/relationships/hyperlink" Target="https://anvilempires.wiki.gg/wiki/Structure" TargetMode="External"/><Relationship Id="rId11" Type="http://schemas.openxmlformats.org/officeDocument/2006/relationships/hyperlink" Target="https://anvilempires.wiki.gg/wiki/Structure" TargetMode="External"/><Relationship Id="rId33" Type="http://schemas.openxmlformats.org/officeDocument/2006/relationships/hyperlink" Target="https://anvilempires.wiki.gg/wiki/Siege" TargetMode="External"/><Relationship Id="rId10" Type="http://schemas.openxmlformats.org/officeDocument/2006/relationships/hyperlink" Target="https://anvilempires.wiki.gg/wiki/Structure" TargetMode="External"/><Relationship Id="rId32" Type="http://schemas.openxmlformats.org/officeDocument/2006/relationships/hyperlink" Target="https://anvilempires.wiki.gg/wiki/Structure" TargetMode="External"/><Relationship Id="rId13" Type="http://schemas.openxmlformats.org/officeDocument/2006/relationships/hyperlink" Target="https://anvilempires.wiki.gg/wiki/Structure" TargetMode="External"/><Relationship Id="rId12" Type="http://schemas.openxmlformats.org/officeDocument/2006/relationships/hyperlink" Target="https://anvilempires.wiki.gg/wiki/Structure" TargetMode="External"/><Relationship Id="rId34" Type="http://schemas.openxmlformats.org/officeDocument/2006/relationships/drawing" Target="../drawings/drawing11.xml"/><Relationship Id="rId15" Type="http://schemas.openxmlformats.org/officeDocument/2006/relationships/hyperlink" Target="https://anvilempires.wiki.gg/wiki/Mining_Platform" TargetMode="External"/><Relationship Id="rId14" Type="http://schemas.openxmlformats.org/officeDocument/2006/relationships/hyperlink" Target="https://anvilempires.wiki.gg/wiki/Mining_Stairs" TargetMode="External"/><Relationship Id="rId17" Type="http://schemas.openxmlformats.org/officeDocument/2006/relationships/hyperlink" Target="https://anvilempires.wiki.gg/wiki/Power" TargetMode="External"/><Relationship Id="rId16" Type="http://schemas.openxmlformats.org/officeDocument/2006/relationships/hyperlink" Target="https://anvilempires.wiki.gg/wiki/Power" TargetMode="External"/><Relationship Id="rId19" Type="http://schemas.openxmlformats.org/officeDocument/2006/relationships/hyperlink" Target="https://anvilempires.wiki.gg/wiki/Power" TargetMode="External"/><Relationship Id="rId18" Type="http://schemas.openxmlformats.org/officeDocument/2006/relationships/hyperlink" Target="https://anvilempires.wiki.gg/wiki/Structure" TargetMode="External"/></Relationships>
</file>

<file path=xl/worksheets/_rels/sheet12.xml.rels><?xml version="1.0" encoding="UTF-8" standalone="yes"?><Relationships xmlns="http://schemas.openxmlformats.org/package/2006/relationships"><Relationship Id="rId40" Type="http://schemas.openxmlformats.org/officeDocument/2006/relationships/hyperlink" Target="https://anvilempires.wiki.gg/wiki/Tilled_Field" TargetMode="External"/><Relationship Id="rId42" Type="http://schemas.openxmlformats.org/officeDocument/2006/relationships/hyperlink" Target="https://anvilempires.wiki.gg/wiki/Resource" TargetMode="External"/><Relationship Id="rId41" Type="http://schemas.openxmlformats.org/officeDocument/2006/relationships/hyperlink" Target="https://anvilempires.wiki.gg/wiki/Tilled_Field" TargetMode="External"/><Relationship Id="rId44" Type="http://schemas.openxmlformats.org/officeDocument/2006/relationships/hyperlink" Target="https://anvilempires.wiki.gg/wiki/Forge" TargetMode="External"/><Relationship Id="rId43" Type="http://schemas.openxmlformats.org/officeDocument/2006/relationships/hyperlink" Target="https://anvilempires.wiki.gg/wiki/Forge" TargetMode="External"/><Relationship Id="rId46" Type="http://schemas.openxmlformats.org/officeDocument/2006/relationships/hyperlink" Target="https://anvilempires.wiki.gg/wiki/Trophy" TargetMode="External"/><Relationship Id="rId45" Type="http://schemas.openxmlformats.org/officeDocument/2006/relationships/hyperlink" Target="https://anvilempires.wiki.gg/wiki/Trophy" TargetMode="External"/><Relationship Id="rId1" Type="http://schemas.openxmlformats.org/officeDocument/2006/relationships/hyperlink" Target="https://anvilempires.wiki.gg/wiki/Resource" TargetMode="External"/><Relationship Id="rId2" Type="http://schemas.openxmlformats.org/officeDocument/2006/relationships/hyperlink" Target="https://anvilempires.wiki.gg/wiki/Resource" TargetMode="External"/><Relationship Id="rId3" Type="http://schemas.openxmlformats.org/officeDocument/2006/relationships/hyperlink" Target="https://anvilempires.wiki.gg/wiki/Resource" TargetMode="External"/><Relationship Id="rId4" Type="http://schemas.openxmlformats.org/officeDocument/2006/relationships/hyperlink" Target="https://anvilempires.wiki.gg/wiki/Tree" TargetMode="External"/><Relationship Id="rId9" Type="http://schemas.openxmlformats.org/officeDocument/2006/relationships/hyperlink" Target="https://anvilempires.wiki.gg/wiki/Calligo" TargetMode="External"/><Relationship Id="rId48" Type="http://schemas.openxmlformats.org/officeDocument/2006/relationships/hyperlink" Target="https://anvilempires.wiki.gg/wiki/Trophy" TargetMode="External"/><Relationship Id="rId47" Type="http://schemas.openxmlformats.org/officeDocument/2006/relationships/hyperlink" Target="https://anvilempires.wiki.gg/wiki/Trophy" TargetMode="External"/><Relationship Id="rId49" Type="http://schemas.openxmlformats.org/officeDocument/2006/relationships/hyperlink" Target="https://anvilempires.wiki.gg/wiki/Trophy" TargetMode="External"/><Relationship Id="rId5" Type="http://schemas.openxmlformats.org/officeDocument/2006/relationships/hyperlink" Target="https://anvilempires.wiki.gg/wiki/Tilled_Field" TargetMode="External"/><Relationship Id="rId6" Type="http://schemas.openxmlformats.org/officeDocument/2006/relationships/hyperlink" Target="https://anvilempires.wiki.gg/wiki/Tree" TargetMode="External"/><Relationship Id="rId7" Type="http://schemas.openxmlformats.org/officeDocument/2006/relationships/hyperlink" Target="https://anvilempires.wiki.gg/wiki/Tilled_Field" TargetMode="External"/><Relationship Id="rId8" Type="http://schemas.openxmlformats.org/officeDocument/2006/relationships/hyperlink" Target="https://anvilempires.wiki.gg/wiki/Resource" TargetMode="External"/><Relationship Id="rId31" Type="http://schemas.openxmlformats.org/officeDocument/2006/relationships/hyperlink" Target="https://anvilempires.wiki.gg/wiki/Resource" TargetMode="External"/><Relationship Id="rId30" Type="http://schemas.openxmlformats.org/officeDocument/2006/relationships/hyperlink" Target="https://anvilempires.wiki.gg/wiki/Resource" TargetMode="External"/><Relationship Id="rId33" Type="http://schemas.openxmlformats.org/officeDocument/2006/relationships/hyperlink" Target="https://anvilempires.wiki.gg/wiki/Resources" TargetMode="External"/><Relationship Id="rId32" Type="http://schemas.openxmlformats.org/officeDocument/2006/relationships/hyperlink" Target="https://anvilempires.wiki.gg/wiki/Resource" TargetMode="External"/><Relationship Id="rId35" Type="http://schemas.openxmlformats.org/officeDocument/2006/relationships/hyperlink" Target="https://anvilempires.wiki.gg/wiki/Resource" TargetMode="External"/><Relationship Id="rId34" Type="http://schemas.openxmlformats.org/officeDocument/2006/relationships/hyperlink" Target="https://anvilempires.wiki.gg/wiki/Resource" TargetMode="External"/><Relationship Id="rId37" Type="http://schemas.openxmlformats.org/officeDocument/2006/relationships/hyperlink" Target="https://anvilempires.wiki.gg/wiki/Food" TargetMode="External"/><Relationship Id="rId36" Type="http://schemas.openxmlformats.org/officeDocument/2006/relationships/hyperlink" Target="https://anvilempires.wiki.gg/wiki/Food" TargetMode="External"/><Relationship Id="rId39" Type="http://schemas.openxmlformats.org/officeDocument/2006/relationships/hyperlink" Target="https://anvilempires.wiki.gg/wiki/Resource" TargetMode="External"/><Relationship Id="rId38" Type="http://schemas.openxmlformats.org/officeDocument/2006/relationships/hyperlink" Target="https://anvilempires.wiki.gg/wiki/Resource" TargetMode="External"/><Relationship Id="rId20" Type="http://schemas.openxmlformats.org/officeDocument/2006/relationships/hyperlink" Target="https://anvilempires.wiki.gg/wiki/Resource" TargetMode="External"/><Relationship Id="rId22" Type="http://schemas.openxmlformats.org/officeDocument/2006/relationships/hyperlink" Target="https://anvilempires.wiki.gg/wiki/Calligo" TargetMode="External"/><Relationship Id="rId21" Type="http://schemas.openxmlformats.org/officeDocument/2006/relationships/hyperlink" Target="https://anvilempires.wiki.gg/wiki/Tilled_Field" TargetMode="External"/><Relationship Id="rId24" Type="http://schemas.openxmlformats.org/officeDocument/2006/relationships/hyperlink" Target="https://anvilempires.wiki.gg/wiki/North_Astrian_Pine_Tree" TargetMode="External"/><Relationship Id="rId23" Type="http://schemas.openxmlformats.org/officeDocument/2006/relationships/hyperlink" Target="https://anvilempires.wiki.gg/wiki/Resources" TargetMode="External"/><Relationship Id="rId60" Type="http://schemas.openxmlformats.org/officeDocument/2006/relationships/drawing" Target="../drawings/drawing12.xml"/><Relationship Id="rId26" Type="http://schemas.openxmlformats.org/officeDocument/2006/relationships/hyperlink" Target="https://anvilempires.wiki.gg/wiki/Resources" TargetMode="External"/><Relationship Id="rId25" Type="http://schemas.openxmlformats.org/officeDocument/2006/relationships/hyperlink" Target="https://anvilempires.wiki.gg/wiki/Resource" TargetMode="External"/><Relationship Id="rId28" Type="http://schemas.openxmlformats.org/officeDocument/2006/relationships/hyperlink" Target="https://anvilempires.wiki.gg/wiki/Resource" TargetMode="External"/><Relationship Id="rId27" Type="http://schemas.openxmlformats.org/officeDocument/2006/relationships/hyperlink" Target="https://anvilempires.wiki.gg/wiki/Feed" TargetMode="External"/><Relationship Id="rId29" Type="http://schemas.openxmlformats.org/officeDocument/2006/relationships/hyperlink" Target="https://anvilempires.wiki.gg/wiki/Resource" TargetMode="External"/><Relationship Id="rId51" Type="http://schemas.openxmlformats.org/officeDocument/2006/relationships/hyperlink" Target="https://anvilempires.wiki.gg/wiki/Trophy" TargetMode="External"/><Relationship Id="rId50" Type="http://schemas.openxmlformats.org/officeDocument/2006/relationships/hyperlink" Target="https://anvilempires.wiki.gg/wiki/Trophy" TargetMode="External"/><Relationship Id="rId53" Type="http://schemas.openxmlformats.org/officeDocument/2006/relationships/hyperlink" Target="https://anvilempires.wiki.gg/wiki/Trophy" TargetMode="External"/><Relationship Id="rId52" Type="http://schemas.openxmlformats.org/officeDocument/2006/relationships/hyperlink" Target="https://anvilempires.wiki.gg/wiki/Trophy" TargetMode="External"/><Relationship Id="rId11" Type="http://schemas.openxmlformats.org/officeDocument/2006/relationships/hyperlink" Target="https://anvilempires.wiki.gg/wiki/Resource" TargetMode="External"/><Relationship Id="rId55" Type="http://schemas.openxmlformats.org/officeDocument/2006/relationships/hyperlink" Target="https://anvilempires.wiki.gg/wiki/Trophy" TargetMode="External"/><Relationship Id="rId10" Type="http://schemas.openxmlformats.org/officeDocument/2006/relationships/hyperlink" Target="https://anvilempires.wiki.gg/wiki/Calligo" TargetMode="External"/><Relationship Id="rId54" Type="http://schemas.openxmlformats.org/officeDocument/2006/relationships/hyperlink" Target="https://anvilempires.wiki.gg/wiki/Trophy" TargetMode="External"/><Relationship Id="rId13" Type="http://schemas.openxmlformats.org/officeDocument/2006/relationships/hyperlink" Target="https://anvilempires.wiki.gg/wiki/Resource" TargetMode="External"/><Relationship Id="rId57" Type="http://schemas.openxmlformats.org/officeDocument/2006/relationships/hyperlink" Target="https://anvilempires.wiki.gg/wiki/Horse" TargetMode="External"/><Relationship Id="rId12" Type="http://schemas.openxmlformats.org/officeDocument/2006/relationships/hyperlink" Target="https://anvilempires.wiki.gg/wiki/Resource" TargetMode="External"/><Relationship Id="rId56" Type="http://schemas.openxmlformats.org/officeDocument/2006/relationships/hyperlink" Target="https://anvilempires.wiki.gg/wiki/Trophy" TargetMode="External"/><Relationship Id="rId15" Type="http://schemas.openxmlformats.org/officeDocument/2006/relationships/hyperlink" Target="https://anvilempires.wiki.gg/wiki/Tree" TargetMode="External"/><Relationship Id="rId59" Type="http://schemas.openxmlformats.org/officeDocument/2006/relationships/hyperlink" Target="https://anvilempires.wiki.gg/wiki/Calligo" TargetMode="External"/><Relationship Id="rId14" Type="http://schemas.openxmlformats.org/officeDocument/2006/relationships/hyperlink" Target="https://anvilempires.wiki.gg/wiki/Resource" TargetMode="External"/><Relationship Id="rId58" Type="http://schemas.openxmlformats.org/officeDocument/2006/relationships/hyperlink" Target="https://anvilempires.wiki.gg/wiki/Caravan" TargetMode="External"/><Relationship Id="rId17" Type="http://schemas.openxmlformats.org/officeDocument/2006/relationships/hyperlink" Target="https://anvilempires.wiki.gg/wiki/Resource" TargetMode="External"/><Relationship Id="rId16" Type="http://schemas.openxmlformats.org/officeDocument/2006/relationships/hyperlink" Target="https://anvilempires.wiki.gg/wiki/Tree" TargetMode="External"/><Relationship Id="rId19" Type="http://schemas.openxmlformats.org/officeDocument/2006/relationships/hyperlink" Target="https://anvilempires.wiki.gg/wiki/Resource" TargetMode="External"/><Relationship Id="rId18" Type="http://schemas.openxmlformats.org/officeDocument/2006/relationships/hyperlink" Target="https://anvilempires.wiki.gg/wiki/Victory_Conditions"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15.75"/>
    <col customWidth="1" min="2" max="2" width="17.13"/>
    <col customWidth="1" min="3" max="3" width="14.63"/>
    <col customWidth="1" min="6" max="6" width="15.63"/>
    <col customWidth="1" min="7" max="7" width="14.75"/>
    <col customWidth="1" min="8" max="8" width="21.88"/>
    <col customWidth="1" min="9" max="9" width="15.5"/>
    <col customWidth="1" min="10" max="10" width="6.63"/>
    <col customWidth="1" min="11" max="11" width="11.63"/>
    <col customWidth="1" min="12" max="12" width="19.25"/>
  </cols>
  <sheetData>
    <row r="4">
      <c r="G4" s="1"/>
    </row>
    <row r="19">
      <c r="A19" s="2"/>
      <c r="B19" s="3" t="s">
        <v>0</v>
      </c>
      <c r="C19" s="4"/>
      <c r="D19" s="5"/>
      <c r="E19" s="6"/>
      <c r="G19" s="7"/>
      <c r="H19" s="8" t="s">
        <v>1</v>
      </c>
      <c r="I19" s="7"/>
      <c r="L19" s="9" t="s">
        <v>2</v>
      </c>
    </row>
    <row r="20">
      <c r="A20" s="10" t="s">
        <v>3</v>
      </c>
      <c r="B20" s="11" t="s">
        <v>4</v>
      </c>
      <c r="C20" s="12">
        <f t="array" ref="C20">IFERROR(INDEX(Armour!C:C, MATCH(B20, Armour!B:B, 0)), 0)</f>
        <v>0.13</v>
      </c>
      <c r="D20" s="13">
        <f t="array" ref="D20">IFERROR(INDEX(Armour!D:D, MATCH(B20, Armour!B:B, 0)), 0)</f>
        <v>0.09</v>
      </c>
      <c r="E20" s="14" t="str">
        <f t="array" ref="E20">IFERROR(INDEX(Armour!E:E, MATCH(B20, Armour!B:B, 0)), 0)</f>
        <v>Melee 3</v>
      </c>
      <c r="G20" s="15" t="s">
        <v>5</v>
      </c>
      <c r="H20" s="15" t="s">
        <v>6</v>
      </c>
      <c r="I20" s="15" t="s">
        <v>7</v>
      </c>
      <c r="L20" s="16"/>
    </row>
    <row r="21">
      <c r="A21" s="10" t="s">
        <v>8</v>
      </c>
      <c r="B21" s="11" t="s">
        <v>9</v>
      </c>
      <c r="C21" s="12">
        <f t="array" ref="C21">IFERROR(INDEX(Armour!C:C, MATCH(B21, Armour!B:B, 0)), 0)</f>
        <v>0.58</v>
      </c>
      <c r="D21" s="17">
        <f t="array" ref="D21">IFERROR(INDEX(Armour!D:D, MATCH(B21, Armour!B:B, 0)), 0)</f>
        <v>0.32</v>
      </c>
      <c r="E21" s="18" t="str">
        <f t="array" ref="E21">IFERROR(INDEX(Armour!E:E, MATCH(B21, Armour!B:B, 0)), 0)</f>
        <v>Melee 3</v>
      </c>
      <c r="F21" s="19" t="s">
        <v>10</v>
      </c>
      <c r="G21" s="20" t="str">
        <f t="array" ref="G21">IFERROR(INDEX(Weapon!C:C, MATCH(H21, Weapon!B:B, 0)), 0)</f>
        <v>Impaling 16 - 19</v>
      </c>
      <c r="H21" s="16" t="s">
        <v>11</v>
      </c>
      <c r="I21" s="21" t="str">
        <f t="array" ref="I21">IFERROR(INDEX(Weapon!H:H, MATCH(H21, Weapon!B:B, 0)), 0)</f>
        <v>Impale 18 - 22</v>
      </c>
      <c r="K21" s="19" t="s">
        <v>12</v>
      </c>
      <c r="L21" s="21">
        <f t="array" ref="L21">IFERROR(INDEX(Foods!C:C, MATCH(L20, Foods!B:B, 0)), 0)</f>
        <v>0</v>
      </c>
      <c r="M21" s="11"/>
    </row>
    <row r="22">
      <c r="A22" s="10" t="s">
        <v>13</v>
      </c>
      <c r="B22" s="11" t="s">
        <v>14</v>
      </c>
      <c r="C22" s="12">
        <f t="array" ref="C22">IFERROR(INDEX(Armour!C:C, MATCH(B22, Armour!B:B, 0)), 0)</f>
        <v>0.08</v>
      </c>
      <c r="D22" s="17">
        <f t="array" ref="D22">IFERROR(INDEX(Armour!D:D, MATCH(B22, Armour!B:B, 0)), 0)</f>
        <v>0.07</v>
      </c>
      <c r="E22" s="18" t="str">
        <f t="array" ref="E22">IFERROR(INDEX(Armour!E:E, MATCH(B22, Armour!B:B, 0)), 0)</f>
        <v>Melee 3</v>
      </c>
      <c r="F22" s="19" t="s">
        <v>15</v>
      </c>
      <c r="G22" s="20" t="str">
        <f t="array" ref="G22">IFERROR(INDEX(Weapon!D:D, MATCH(H21, Weapon!B:B, 0)), 0)</f>
        <v>1 sec</v>
      </c>
      <c r="H22" s="22" t="str">
        <f t="array" ref="H22">IFERROR(INDEX(Weapon!M:M, MATCH(H21, Weapon!B:B, 0)), 0)</f>
        <v/>
      </c>
      <c r="I22" s="21" t="str">
        <f t="array" ref="I22">IFERROR(INDEX(Weapon!I:I, MATCH(H21, Weapon!B:B, 0)), 0)</f>
        <v>0.7 sec</v>
      </c>
      <c r="K22" s="19" t="s">
        <v>16</v>
      </c>
      <c r="L22" s="21">
        <f t="array" ref="L22">IFERROR(INDEX(Foods!D:D, MATCH(L20, Foods!B:B, 0)), 0)</f>
        <v>0</v>
      </c>
    </row>
    <row r="23">
      <c r="A23" s="23" t="s">
        <v>17</v>
      </c>
      <c r="B23" s="24" t="s">
        <v>18</v>
      </c>
      <c r="C23" s="25" t="str">
        <f t="array" ref="C23">IFERROR(INDEX(Shields!C:C, MATCH(B23, Shields!B:B, 0)), 0)</f>
        <v>223 Hits</v>
      </c>
      <c r="D23" s="26">
        <f t="array" ref="D23">IFERROR(INDEX(Shields!D:D, MATCH(B23, Shields!B:B, 0)), 0)</f>
        <v>0.14</v>
      </c>
      <c r="E23" s="25" t="str">
        <f t="array" ref="E23">IFERROR(INDEX(Shields!E:E, MATCH(B23, Shields!B:B, 0)), 0)</f>
        <v>Melee 5</v>
      </c>
      <c r="F23" s="19" t="s">
        <v>19</v>
      </c>
      <c r="G23" s="27">
        <f t="array" ref="G23">IFERROR(INDEX(Weapon!E:E, MATCH(H21, Weapon!B:B, 0)), 0)</f>
        <v>0.25</v>
      </c>
      <c r="H23" s="21" t="str">
        <f t="array" ref="H23">IFERROR(INDEX(Weapon!N:N, MATCH(H21, Weapon!B:B, 0)), 0)</f>
        <v/>
      </c>
      <c r="I23" s="28">
        <f t="array" ref="I23">IFERROR(INDEX(Weapon!J:J, MATCH(H21, Weapon!B:B, 0)), 0)</f>
        <v>0.25</v>
      </c>
      <c r="K23" s="19" t="s">
        <v>20</v>
      </c>
      <c r="L23" s="29">
        <f t="array" ref="L23">IFERROR(INDEX(Foods!E:E, MATCH(L20, Foods!B:B, 0)), 0)</f>
        <v>0</v>
      </c>
      <c r="M23" s="11"/>
    </row>
    <row r="24">
      <c r="A24" s="30" t="s">
        <v>21</v>
      </c>
      <c r="B24" s="31">
        <f>1 - (( 1 - C20 ) * ( 1 - C21 ) * ( 1 - C22 )) </f>
        <v>0.663832</v>
      </c>
      <c r="C24" s="32"/>
      <c r="D24" s="32"/>
      <c r="E24" s="32"/>
      <c r="F24" s="19" t="s">
        <v>22</v>
      </c>
      <c r="G24" s="20" t="str">
        <f t="array" ref="G24">IFERROR(INDEX(Weapon!F:F, MATCH(H21, Weapon!B:B, 0)), 0)</f>
        <v>-</v>
      </c>
      <c r="H24" s="29" t="str">
        <f t="array" ref="H24">IFERROR(INDEX(Weapon!O:O, MATCH(H21, Weapon!B:B, 0)), 0)</f>
        <v/>
      </c>
      <c r="I24" s="21" t="str">
        <f t="array" ref="I24">IFERROR(INDEX(Weapon!K:K, MATCH(H21, Weapon!B:B, 0)), 0)</f>
        <v>-</v>
      </c>
    </row>
    <row r="25">
      <c r="A25" s="10" t="s">
        <v>23</v>
      </c>
      <c r="B25" s="33">
        <f>100 / (( 1 - C20 ) * ( 1 - C21 ) * ( 1 - C22 )) </f>
        <v>297.4703125</v>
      </c>
      <c r="C25" s="7"/>
      <c r="D25" s="7"/>
      <c r="E25" s="7"/>
      <c r="F25" s="19" t="s">
        <v>24</v>
      </c>
      <c r="G25" s="34" t="str">
        <f t="array" ref="G25">IFERROR(INDEX(Weapon!G:G, MATCH(H21, Weapon!B:B, 0)), 0)</f>
        <v>⚡20</v>
      </c>
      <c r="H25" s="35" t="str">
        <f t="array" ref="H25">IFERROR(INDEX(Weapon!P:P, MATCH(H21, Weapon!B:B, 0)), 0)</f>
        <v/>
      </c>
      <c r="I25" s="21" t="str">
        <f t="array" ref="I25">IFERROR(INDEX(Weapon!L:L, MATCH(H21, Weapon!B:B, 0)), 0)</f>
        <v>⚡20</v>
      </c>
    </row>
    <row r="26">
      <c r="A26" s="23" t="s">
        <v>25</v>
      </c>
      <c r="B26" s="36">
        <f>1 - (( 1 - D20 ) * ( 1 - D21 ) * ( 1 - D22 )) </f>
        <v>0.424516</v>
      </c>
      <c r="C26" s="7"/>
      <c r="D26" s="7"/>
      <c r="E26" s="7"/>
      <c r="G26" s="7"/>
      <c r="H26" s="37" t="s">
        <v>26</v>
      </c>
      <c r="I26" s="38"/>
    </row>
    <row r="27">
      <c r="G27" s="30" t="s">
        <v>27</v>
      </c>
      <c r="H27" s="39" t="str">
        <f t="array" ref="H27">IFERROR(INDEX(Weapon!Q:Q, MATCH(H21, Weapon!B:B, 0)), "")</f>
        <v/>
      </c>
      <c r="I27" s="40" t="str">
        <f t="array" ref="I27">IFERROR(INDEX(Extras!I:I, MATCH(H27, Extras!H:H, 0)), "")</f>
        <v/>
      </c>
    </row>
    <row r="28">
      <c r="G28" s="10" t="s">
        <v>28</v>
      </c>
      <c r="H28" s="41" t="str">
        <f t="array" ref="H28">IFERROR(INDEX(Weapon!R:R, MATCH(H21, Weapon!B:B, 0)), "")</f>
        <v>🛡️28%</v>
      </c>
      <c r="I28" s="40" t="str">
        <f t="array" ref="I28">IFERROR(INDEX(Extras!I:I, MATCH(H28, Extras!H:H, 0)), "")</f>
        <v/>
      </c>
    </row>
    <row r="29">
      <c r="A29" s="7"/>
      <c r="B29" s="8" t="s">
        <v>29</v>
      </c>
      <c r="C29" s="7"/>
      <c r="G29" s="23" t="s">
        <v>30</v>
      </c>
      <c r="H29" s="42">
        <f t="array" ref="H29">IFERROR(INDEX(Weapon!S:S, MATCH(H21, Weapon!B:B, 0)), "")</f>
        <v>40</v>
      </c>
      <c r="I29" s="40" t="str">
        <f t="array" ref="I29">IFERROR(INDEX(Extras!I:I, MATCH(H29, Extras!H:H, 0)), "")</f>
        <v/>
      </c>
    </row>
    <row r="30">
      <c r="A30" s="7"/>
      <c r="B30" s="16" t="s">
        <v>31</v>
      </c>
      <c r="C30" s="7"/>
    </row>
    <row r="31">
      <c r="A31" s="19" t="s">
        <v>32</v>
      </c>
      <c r="B31" s="43">
        <f t="array" ref="B31">IFERROR(INDEX(NPCs!C:C, MATCH(B30, NPCs!B:B, 0)), 0)</f>
        <v>225</v>
      </c>
      <c r="C31" s="44" t="s">
        <v>33</v>
      </c>
    </row>
    <row r="32">
      <c r="A32" s="19" t="s">
        <v>34</v>
      </c>
      <c r="B32" s="45">
        <f>IFERROR(B25/C31, 0)</f>
        <v>0</v>
      </c>
      <c r="C32" s="11" t="s">
        <v>35</v>
      </c>
    </row>
    <row r="33">
      <c r="A33" s="19" t="s">
        <v>36</v>
      </c>
      <c r="B33" s="46">
        <f>IFERROR(B31/H25, 0)</f>
        <v>0</v>
      </c>
      <c r="C33" s="11" t="s">
        <v>1</v>
      </c>
    </row>
  </sheetData>
  <dataValidations>
    <dataValidation type="list" allowBlank="1" showErrorMessage="1" sqref="B20">
      <formula1>"Crude Helmet,Light Helmet,Reinforced Helmet,Heavy Helmet"</formula1>
    </dataValidation>
    <dataValidation type="list" allowBlank="1" showErrorMessage="1" sqref="B22">
      <formula1>"Common Bottoms,Crude Leg,Light Leg,Reinforced Leg,Heavy Leg"</formula1>
    </dataValidation>
    <dataValidation type="list" allowBlank="1" showErrorMessage="1" sqref="B23">
      <formula1>Shields!$B$2:$B$5</formula1>
    </dataValidation>
    <dataValidation type="list" allowBlank="1" showErrorMessage="1" sqref="B21">
      <formula1>"Common Garment,Crude Chest,Light Chest,Reinforced Chest,Heavy Chest"</formula1>
    </dataValidation>
    <dataValidation type="list" allowBlank="1" showErrorMessage="1" sqref="L20">
      <formula1>Foods!$B$2:$B$16</formula1>
    </dataValidation>
    <dataValidation type="list" allowBlank="1" showErrorMessage="1" sqref="H21">
      <formula1>Weapon!$B$2:$B$28</formula1>
    </dataValidation>
    <dataValidation type="list" allowBlank="1" showErrorMessage="1" sqref="B30">
      <formula1>NPCs!$B$2:$B$17</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25.5"/>
  </cols>
  <sheetData>
    <row r="1">
      <c r="A1" s="47" t="s">
        <v>37</v>
      </c>
      <c r="B1" s="47" t="s">
        <v>6</v>
      </c>
      <c r="C1" s="47" t="s">
        <v>38</v>
      </c>
      <c r="D1" s="47" t="s">
        <v>38</v>
      </c>
      <c r="E1" s="47" t="s">
        <v>20</v>
      </c>
      <c r="F1" s="48" t="s">
        <v>39</v>
      </c>
    </row>
    <row r="2">
      <c r="A2" s="11" t="s">
        <v>40</v>
      </c>
      <c r="B2" s="11" t="s">
        <v>41</v>
      </c>
      <c r="C2" s="11" t="s">
        <v>42</v>
      </c>
      <c r="D2" s="11" t="s">
        <v>43</v>
      </c>
      <c r="E2" s="11" t="s">
        <v>44</v>
      </c>
      <c r="F2" s="11" t="s">
        <v>45</v>
      </c>
    </row>
    <row r="3">
      <c r="A3" s="11" t="s">
        <v>46</v>
      </c>
      <c r="B3" s="11" t="s">
        <v>47</v>
      </c>
      <c r="C3" s="11" t="s">
        <v>48</v>
      </c>
      <c r="D3" s="11" t="s">
        <v>49</v>
      </c>
      <c r="E3" s="11" t="s">
        <v>50</v>
      </c>
      <c r="F3" s="11" t="s">
        <v>45</v>
      </c>
    </row>
    <row r="4">
      <c r="A4" s="11" t="s">
        <v>51</v>
      </c>
      <c r="B4" s="11" t="s">
        <v>52</v>
      </c>
      <c r="C4" s="11" t="s">
        <v>42</v>
      </c>
      <c r="D4" s="11" t="s">
        <v>43</v>
      </c>
      <c r="E4" s="11" t="s">
        <v>53</v>
      </c>
      <c r="F4" s="11" t="s">
        <v>54</v>
      </c>
    </row>
    <row r="5">
      <c r="A5" s="11" t="s">
        <v>55</v>
      </c>
      <c r="B5" s="11" t="s">
        <v>56</v>
      </c>
      <c r="C5" s="11" t="s">
        <v>57</v>
      </c>
      <c r="D5" s="11" t="s">
        <v>58</v>
      </c>
      <c r="E5" s="11" t="s">
        <v>59</v>
      </c>
      <c r="F5" s="11" t="s">
        <v>54</v>
      </c>
    </row>
    <row r="6">
      <c r="A6" s="11" t="s">
        <v>60</v>
      </c>
      <c r="B6" s="11" t="s">
        <v>61</v>
      </c>
      <c r="C6" s="11" t="s">
        <v>42</v>
      </c>
      <c r="D6" s="11" t="s">
        <v>62</v>
      </c>
      <c r="E6" s="11" t="s">
        <v>63</v>
      </c>
      <c r="F6" s="11" t="s">
        <v>54</v>
      </c>
    </row>
    <row r="7">
      <c r="A7" s="11" t="s">
        <v>64</v>
      </c>
      <c r="B7" s="11" t="s">
        <v>65</v>
      </c>
      <c r="C7" s="11" t="s">
        <v>48</v>
      </c>
      <c r="D7" s="11" t="s">
        <v>66</v>
      </c>
      <c r="E7" s="11" t="s">
        <v>50</v>
      </c>
      <c r="F7" s="11" t="s">
        <v>67</v>
      </c>
    </row>
    <row r="8">
      <c r="A8" s="11" t="s">
        <v>68</v>
      </c>
      <c r="B8" s="11" t="s">
        <v>69</v>
      </c>
      <c r="C8" s="11" t="s">
        <v>70</v>
      </c>
      <c r="D8" s="11" t="s">
        <v>71</v>
      </c>
      <c r="E8" s="11" t="s">
        <v>72</v>
      </c>
      <c r="F8" s="11" t="s">
        <v>73</v>
      </c>
    </row>
    <row r="9">
      <c r="A9" s="11" t="s">
        <v>74</v>
      </c>
      <c r="B9" s="11" t="s">
        <v>75</v>
      </c>
      <c r="C9" s="11" t="s">
        <v>42</v>
      </c>
      <c r="D9" s="11" t="s">
        <v>76</v>
      </c>
      <c r="E9" s="11" t="s">
        <v>77</v>
      </c>
      <c r="F9" s="11" t="s">
        <v>45</v>
      </c>
    </row>
    <row r="10">
      <c r="A10" s="11" t="s">
        <v>78</v>
      </c>
      <c r="B10" s="11" t="s">
        <v>79</v>
      </c>
      <c r="C10" s="11" t="s">
        <v>57</v>
      </c>
      <c r="D10" s="11" t="s">
        <v>76</v>
      </c>
      <c r="E10" s="11" t="s">
        <v>80</v>
      </c>
      <c r="F10" s="11" t="s">
        <v>81</v>
      </c>
    </row>
    <row r="11">
      <c r="A11" s="11" t="s">
        <v>82</v>
      </c>
      <c r="B11" s="11" t="s">
        <v>83</v>
      </c>
      <c r="C11" s="11" t="s">
        <v>57</v>
      </c>
      <c r="D11" s="11" t="s">
        <v>84</v>
      </c>
      <c r="E11" s="11" t="s">
        <v>85</v>
      </c>
      <c r="F11" s="11" t="s">
        <v>54</v>
      </c>
    </row>
    <row r="12">
      <c r="A12" s="11" t="s">
        <v>86</v>
      </c>
      <c r="B12" s="11" t="s">
        <v>87</v>
      </c>
      <c r="C12" s="11" t="s">
        <v>48</v>
      </c>
      <c r="D12" s="11" t="s">
        <v>88</v>
      </c>
      <c r="E12" s="11" t="s">
        <v>85</v>
      </c>
      <c r="F12" s="11" t="s">
        <v>89</v>
      </c>
    </row>
    <row r="13">
      <c r="A13" s="11" t="s">
        <v>90</v>
      </c>
      <c r="B13" s="11" t="s">
        <v>91</v>
      </c>
      <c r="C13" s="11" t="s">
        <v>48</v>
      </c>
      <c r="D13" s="11" t="s">
        <v>88</v>
      </c>
      <c r="E13" s="11" t="s">
        <v>85</v>
      </c>
      <c r="F13" s="11" t="s">
        <v>92</v>
      </c>
    </row>
    <row r="14">
      <c r="A14" s="11" t="s">
        <v>93</v>
      </c>
      <c r="B14" s="11" t="s">
        <v>94</v>
      </c>
      <c r="C14" s="11" t="s">
        <v>48</v>
      </c>
      <c r="D14" s="11" t="s">
        <v>49</v>
      </c>
      <c r="E14" s="11" t="s">
        <v>50</v>
      </c>
      <c r="F14" s="11" t="s">
        <v>81</v>
      </c>
    </row>
    <row r="15">
      <c r="A15" s="11" t="s">
        <v>95</v>
      </c>
      <c r="B15" s="11" t="s">
        <v>96</v>
      </c>
      <c r="C15" s="11" t="s">
        <v>70</v>
      </c>
      <c r="D15" s="11" t="s">
        <v>97</v>
      </c>
      <c r="E15" s="11" t="s">
        <v>53</v>
      </c>
      <c r="F15" s="11" t="s">
        <v>73</v>
      </c>
    </row>
    <row r="16">
      <c r="A16" s="11" t="s">
        <v>98</v>
      </c>
      <c r="B16" s="11" t="s">
        <v>99</v>
      </c>
      <c r="C16" s="11" t="s">
        <v>48</v>
      </c>
      <c r="D16" s="11" t="s">
        <v>100</v>
      </c>
      <c r="E16" s="11" t="s">
        <v>101</v>
      </c>
      <c r="F16" s="11" t="s">
        <v>81</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25.38"/>
    <col customWidth="1" min="7" max="7" width="18.13"/>
    <col customWidth="1" min="11" max="11" width="18.75"/>
  </cols>
  <sheetData>
    <row r="1">
      <c r="A1" s="49" t="s">
        <v>37</v>
      </c>
      <c r="B1" s="49" t="s">
        <v>6</v>
      </c>
      <c r="C1" s="49" t="s">
        <v>102</v>
      </c>
      <c r="D1" s="49" t="s">
        <v>103</v>
      </c>
      <c r="E1" s="49" t="s">
        <v>104</v>
      </c>
      <c r="F1" s="50" t="s">
        <v>105</v>
      </c>
      <c r="G1" s="50" t="s">
        <v>106</v>
      </c>
      <c r="H1" s="51"/>
      <c r="K1" s="11" t="s">
        <v>107</v>
      </c>
      <c r="L1" s="11" t="s">
        <v>108</v>
      </c>
      <c r="M1" s="11" t="s">
        <v>109</v>
      </c>
      <c r="N1" s="11" t="s">
        <v>110</v>
      </c>
      <c r="O1" s="11" t="s">
        <v>111</v>
      </c>
    </row>
    <row r="2">
      <c r="A2" s="52" t="s">
        <v>112</v>
      </c>
      <c r="B2" s="52" t="s">
        <v>113</v>
      </c>
      <c r="C2" s="53">
        <v>0.0</v>
      </c>
      <c r="D2" s="53">
        <v>0.0</v>
      </c>
      <c r="E2" s="52" t="s">
        <v>114</v>
      </c>
      <c r="F2" s="52" t="s">
        <v>115</v>
      </c>
      <c r="G2" s="54">
        <v>0.0</v>
      </c>
      <c r="H2" s="52" t="s">
        <v>116</v>
      </c>
      <c r="K2" s="11" t="s">
        <v>117</v>
      </c>
      <c r="L2" s="11" t="s">
        <v>118</v>
      </c>
      <c r="M2" s="11" t="s">
        <v>118</v>
      </c>
      <c r="N2" s="11" t="s">
        <v>118</v>
      </c>
      <c r="O2" s="11" t="s">
        <v>119</v>
      </c>
    </row>
    <row r="3">
      <c r="A3" s="52" t="s">
        <v>120</v>
      </c>
      <c r="B3" s="52" t="s">
        <v>121</v>
      </c>
      <c r="C3" s="53">
        <v>0.0</v>
      </c>
      <c r="D3" s="53">
        <v>0.0</v>
      </c>
      <c r="E3" s="52" t="s">
        <v>114</v>
      </c>
      <c r="F3" s="52" t="s">
        <v>122</v>
      </c>
      <c r="G3" s="54">
        <v>0.0</v>
      </c>
      <c r="H3" s="52" t="s">
        <v>116</v>
      </c>
      <c r="K3" s="11" t="s">
        <v>123</v>
      </c>
      <c r="L3" s="11" t="s">
        <v>118</v>
      </c>
      <c r="M3" s="11" t="s">
        <v>119</v>
      </c>
      <c r="N3" s="11" t="s">
        <v>119</v>
      </c>
      <c r="O3" s="11" t="s">
        <v>119</v>
      </c>
    </row>
    <row r="4">
      <c r="A4" s="52" t="s">
        <v>124</v>
      </c>
      <c r="B4" s="52" t="s">
        <v>125</v>
      </c>
      <c r="C4" s="53">
        <v>0.11</v>
      </c>
      <c r="D4" s="53">
        <v>0.0</v>
      </c>
      <c r="E4" s="52" t="s">
        <v>114</v>
      </c>
      <c r="F4" s="52" t="s">
        <v>122</v>
      </c>
      <c r="G4" s="52" t="s">
        <v>114</v>
      </c>
      <c r="H4" s="52" t="s">
        <v>35</v>
      </c>
      <c r="K4" s="11" t="s">
        <v>9</v>
      </c>
      <c r="L4" s="11" t="s">
        <v>118</v>
      </c>
      <c r="M4" s="11" t="s">
        <v>118</v>
      </c>
      <c r="N4" s="11" t="s">
        <v>119</v>
      </c>
      <c r="O4" s="11" t="s">
        <v>118</v>
      </c>
    </row>
    <row r="5">
      <c r="A5" s="52" t="s">
        <v>126</v>
      </c>
      <c r="B5" s="52" t="s">
        <v>127</v>
      </c>
      <c r="C5" s="53">
        <v>0.04</v>
      </c>
      <c r="D5" s="53">
        <v>0.0</v>
      </c>
      <c r="E5" s="52" t="s">
        <v>114</v>
      </c>
      <c r="F5" s="52" t="s">
        <v>128</v>
      </c>
      <c r="G5" s="52" t="s">
        <v>114</v>
      </c>
      <c r="H5" s="52" t="s">
        <v>35</v>
      </c>
      <c r="K5" s="11" t="s">
        <v>129</v>
      </c>
      <c r="L5" s="11" t="s">
        <v>118</v>
      </c>
      <c r="M5" s="11" t="s">
        <v>119</v>
      </c>
      <c r="N5" s="11" t="s">
        <v>119</v>
      </c>
      <c r="O5" s="11" t="s">
        <v>118</v>
      </c>
    </row>
    <row r="6">
      <c r="A6" s="52" t="s">
        <v>130</v>
      </c>
      <c r="B6" s="52" t="s">
        <v>131</v>
      </c>
      <c r="C6" s="53">
        <v>0.01</v>
      </c>
      <c r="D6" s="53">
        <v>0.0</v>
      </c>
      <c r="E6" s="52" t="s">
        <v>114</v>
      </c>
      <c r="F6" s="52" t="s">
        <v>115</v>
      </c>
      <c r="G6" s="52" t="s">
        <v>114</v>
      </c>
      <c r="H6" s="52" t="s">
        <v>35</v>
      </c>
      <c r="K6" s="11" t="s">
        <v>132</v>
      </c>
      <c r="L6" s="11" t="s">
        <v>119</v>
      </c>
      <c r="M6" s="11" t="s">
        <v>119</v>
      </c>
      <c r="N6" s="11" t="s">
        <v>119</v>
      </c>
      <c r="O6" s="11" t="s">
        <v>118</v>
      </c>
    </row>
    <row r="7">
      <c r="A7" s="52" t="s">
        <v>133</v>
      </c>
      <c r="B7" s="52" t="s">
        <v>117</v>
      </c>
      <c r="C7" s="53">
        <v>0.64</v>
      </c>
      <c r="D7" s="53">
        <v>0.35</v>
      </c>
      <c r="E7" s="52" t="s">
        <v>134</v>
      </c>
      <c r="F7" s="52" t="s">
        <v>122</v>
      </c>
      <c r="G7" s="52" t="s">
        <v>114</v>
      </c>
      <c r="H7" s="52" t="s">
        <v>35</v>
      </c>
    </row>
    <row r="8">
      <c r="A8" s="52" t="s">
        <v>135</v>
      </c>
      <c r="B8" s="52" t="s">
        <v>136</v>
      </c>
      <c r="C8" s="53">
        <v>0.16</v>
      </c>
      <c r="D8" s="53">
        <v>0.11</v>
      </c>
      <c r="E8" s="52" t="s">
        <v>134</v>
      </c>
      <c r="F8" s="52" t="s">
        <v>128</v>
      </c>
      <c r="G8" s="52" t="s">
        <v>114</v>
      </c>
      <c r="H8" s="52" t="s">
        <v>35</v>
      </c>
      <c r="K8" s="55" t="s">
        <v>137</v>
      </c>
    </row>
    <row r="9">
      <c r="A9" s="52" t="s">
        <v>138</v>
      </c>
      <c r="B9" s="52" t="s">
        <v>139</v>
      </c>
      <c r="C9" s="53">
        <v>0.1</v>
      </c>
      <c r="D9" s="53">
        <v>0.08</v>
      </c>
      <c r="E9" s="52" t="s">
        <v>134</v>
      </c>
      <c r="F9" s="52" t="s">
        <v>115</v>
      </c>
      <c r="G9" s="52" t="s">
        <v>114</v>
      </c>
      <c r="H9" s="52" t="s">
        <v>35</v>
      </c>
      <c r="K9" s="40" t="s">
        <v>140</v>
      </c>
    </row>
    <row r="10">
      <c r="A10" s="52" t="s">
        <v>141</v>
      </c>
      <c r="B10" s="52" t="s">
        <v>142</v>
      </c>
      <c r="C10" s="53">
        <v>0.36</v>
      </c>
      <c r="D10" s="53">
        <v>0.24</v>
      </c>
      <c r="E10" s="56"/>
      <c r="F10" s="52" t="s">
        <v>122</v>
      </c>
      <c r="G10" s="52" t="s">
        <v>114</v>
      </c>
      <c r="H10" s="52" t="s">
        <v>35</v>
      </c>
      <c r="K10" s="55" t="s">
        <v>143</v>
      </c>
    </row>
    <row r="11">
      <c r="A11" s="52" t="s">
        <v>144</v>
      </c>
      <c r="B11" s="52" t="s">
        <v>145</v>
      </c>
      <c r="C11" s="53">
        <v>0.09</v>
      </c>
      <c r="D11" s="53">
        <v>0.06</v>
      </c>
      <c r="E11" s="56"/>
      <c r="F11" s="52" t="s">
        <v>128</v>
      </c>
      <c r="G11" s="52" t="s">
        <v>114</v>
      </c>
      <c r="H11" s="52" t="s">
        <v>35</v>
      </c>
      <c r="K11" s="55" t="s">
        <v>146</v>
      </c>
    </row>
    <row r="12">
      <c r="A12" s="52" t="s">
        <v>147</v>
      </c>
      <c r="B12" s="52" t="s">
        <v>148</v>
      </c>
      <c r="C12" s="53">
        <v>0.06</v>
      </c>
      <c r="D12" s="53">
        <v>0.04</v>
      </c>
      <c r="E12" s="56"/>
      <c r="F12" s="52" t="s">
        <v>115</v>
      </c>
      <c r="G12" s="52" t="s">
        <v>114</v>
      </c>
      <c r="H12" s="52" t="s">
        <v>35</v>
      </c>
    </row>
    <row r="13">
      <c r="A13" s="52" t="s">
        <v>149</v>
      </c>
      <c r="B13" s="52" t="s">
        <v>9</v>
      </c>
      <c r="C13" s="53">
        <v>0.58</v>
      </c>
      <c r="D13" s="53">
        <v>0.32</v>
      </c>
      <c r="E13" s="52" t="s">
        <v>150</v>
      </c>
      <c r="F13" s="52" t="s">
        <v>122</v>
      </c>
      <c r="G13" s="52" t="s">
        <v>114</v>
      </c>
      <c r="H13" s="52" t="s">
        <v>35</v>
      </c>
    </row>
    <row r="14">
      <c r="A14" s="52" t="s">
        <v>151</v>
      </c>
      <c r="B14" s="52" t="s">
        <v>4</v>
      </c>
      <c r="C14" s="53">
        <v>0.13</v>
      </c>
      <c r="D14" s="53">
        <v>0.09</v>
      </c>
      <c r="E14" s="52" t="s">
        <v>150</v>
      </c>
      <c r="F14" s="52" t="s">
        <v>128</v>
      </c>
      <c r="G14" s="52" t="s">
        <v>114</v>
      </c>
      <c r="H14" s="52" t="s">
        <v>35</v>
      </c>
    </row>
    <row r="15">
      <c r="A15" s="52" t="s">
        <v>152</v>
      </c>
      <c r="B15" s="52" t="s">
        <v>14</v>
      </c>
      <c r="C15" s="53">
        <v>0.08</v>
      </c>
      <c r="D15" s="53">
        <v>0.07</v>
      </c>
      <c r="E15" s="52" t="s">
        <v>150</v>
      </c>
      <c r="F15" s="52" t="s">
        <v>115</v>
      </c>
      <c r="G15" s="52" t="s">
        <v>114</v>
      </c>
      <c r="H15" s="52" t="s">
        <v>35</v>
      </c>
      <c r="K15" s="40"/>
    </row>
    <row r="16">
      <c r="A16" s="52" t="s">
        <v>153</v>
      </c>
      <c r="B16" s="52" t="s">
        <v>154</v>
      </c>
      <c r="C16" s="54">
        <v>0.04</v>
      </c>
      <c r="D16" s="54">
        <v>0.02</v>
      </c>
      <c r="E16" s="57"/>
      <c r="F16" s="52" t="s">
        <v>122</v>
      </c>
      <c r="G16" s="54">
        <v>0.5</v>
      </c>
      <c r="H16" s="52" t="s">
        <v>116</v>
      </c>
      <c r="K16" s="40" t="s">
        <v>155</v>
      </c>
    </row>
    <row r="17">
      <c r="A17" s="52" t="s">
        <v>156</v>
      </c>
      <c r="B17" s="52" t="s">
        <v>157</v>
      </c>
      <c r="C17" s="54">
        <v>0.02</v>
      </c>
      <c r="D17" s="54">
        <v>0.01</v>
      </c>
      <c r="E17" s="57"/>
      <c r="F17" s="52" t="s">
        <v>115</v>
      </c>
      <c r="G17" s="54">
        <v>0.25</v>
      </c>
      <c r="H17" s="52" t="s">
        <v>116</v>
      </c>
      <c r="K17" s="11" t="s">
        <v>158</v>
      </c>
    </row>
    <row r="18">
      <c r="K18" s="40" t="s">
        <v>159</v>
      </c>
    </row>
    <row r="19">
      <c r="K19" s="40" t="s">
        <v>160</v>
      </c>
    </row>
    <row r="21">
      <c r="K21" s="40" t="s">
        <v>161</v>
      </c>
    </row>
    <row r="22">
      <c r="K22" s="40" t="s">
        <v>162</v>
      </c>
    </row>
    <row r="23">
      <c r="K23" s="40" t="s">
        <v>163</v>
      </c>
    </row>
    <row r="24">
      <c r="K24" s="40" t="s">
        <v>164</v>
      </c>
    </row>
    <row r="26">
      <c r="K26" s="40" t="s">
        <v>106</v>
      </c>
    </row>
    <row r="27">
      <c r="K27" s="40" t="s">
        <v>165</v>
      </c>
    </row>
    <row r="28">
      <c r="K28" s="40" t="s">
        <v>166</v>
      </c>
    </row>
    <row r="29">
      <c r="K29" s="40" t="s">
        <v>167</v>
      </c>
    </row>
  </sheetData>
  <hyperlinks>
    <hyperlink r:id="rId1" ref="K8"/>
    <hyperlink r:id="rId2" ref="K10"/>
    <hyperlink r:id="rId3" ref="K11"/>
  </hyperlinks>
  <drawing r:id="rId4"/>
  <tableParts count="1">
    <tablePart r:id="rId6"/>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4" max="4" width="13.75"/>
  </cols>
  <sheetData>
    <row r="1">
      <c r="A1" s="47" t="s">
        <v>37</v>
      </c>
      <c r="B1" s="47" t="s">
        <v>6</v>
      </c>
      <c r="C1" s="47" t="s">
        <v>168</v>
      </c>
      <c r="D1" s="47" t="s">
        <v>169</v>
      </c>
      <c r="E1" s="47" t="s">
        <v>104</v>
      </c>
    </row>
    <row r="2">
      <c r="A2" s="58" t="s">
        <v>170</v>
      </c>
      <c r="B2" s="59" t="s">
        <v>171</v>
      </c>
      <c r="C2" s="60" t="s">
        <v>172</v>
      </c>
      <c r="D2" s="61">
        <v>0.3</v>
      </c>
      <c r="E2" s="58" t="s">
        <v>114</v>
      </c>
      <c r="F2" s="62"/>
      <c r="G2" s="62"/>
      <c r="H2" s="62"/>
      <c r="I2" s="62"/>
      <c r="J2" s="62"/>
      <c r="K2" s="62"/>
      <c r="L2" s="62"/>
      <c r="M2" s="62"/>
      <c r="N2" s="62"/>
      <c r="O2" s="62"/>
      <c r="P2" s="62"/>
      <c r="Q2" s="62"/>
      <c r="R2" s="62"/>
      <c r="S2" s="62"/>
      <c r="T2" s="62"/>
      <c r="U2" s="62"/>
      <c r="V2" s="62"/>
      <c r="W2" s="62"/>
      <c r="X2" s="62"/>
      <c r="Y2" s="62"/>
      <c r="Z2" s="62"/>
    </row>
    <row r="3">
      <c r="A3" s="63" t="s">
        <v>173</v>
      </c>
      <c r="B3" s="62" t="s">
        <v>174</v>
      </c>
      <c r="C3" s="64" t="s">
        <v>172</v>
      </c>
      <c r="D3" s="65">
        <v>0.16</v>
      </c>
      <c r="E3" s="63" t="s">
        <v>150</v>
      </c>
      <c r="F3" s="62"/>
      <c r="G3" s="62"/>
      <c r="H3" s="62"/>
      <c r="I3" s="62"/>
      <c r="J3" s="62"/>
      <c r="K3" s="62"/>
      <c r="L3" s="62"/>
      <c r="M3" s="62"/>
      <c r="N3" s="62"/>
      <c r="O3" s="62"/>
      <c r="P3" s="62"/>
      <c r="Q3" s="62"/>
      <c r="R3" s="62"/>
      <c r="S3" s="62"/>
      <c r="T3" s="62"/>
      <c r="U3" s="62"/>
      <c r="V3" s="62"/>
      <c r="W3" s="62"/>
      <c r="X3" s="62"/>
      <c r="Y3" s="62"/>
      <c r="Z3" s="62"/>
    </row>
    <row r="4">
      <c r="A4" s="58" t="s">
        <v>175</v>
      </c>
      <c r="B4" s="59" t="s">
        <v>176</v>
      </c>
      <c r="C4" s="60" t="s">
        <v>172</v>
      </c>
      <c r="D4" s="61">
        <v>0.24</v>
      </c>
      <c r="E4" s="58" t="s">
        <v>114</v>
      </c>
      <c r="F4" s="62"/>
      <c r="G4" s="62"/>
      <c r="H4" s="62"/>
      <c r="I4" s="62"/>
      <c r="J4" s="62"/>
      <c r="K4" s="62"/>
      <c r="L4" s="62"/>
      <c r="M4" s="62"/>
      <c r="N4" s="62"/>
      <c r="O4" s="62"/>
      <c r="P4" s="62"/>
      <c r="Q4" s="62"/>
      <c r="R4" s="62"/>
      <c r="S4" s="62"/>
      <c r="T4" s="62"/>
      <c r="U4" s="62"/>
      <c r="V4" s="62"/>
      <c r="W4" s="62"/>
      <c r="X4" s="62"/>
      <c r="Y4" s="62"/>
      <c r="Z4" s="62"/>
    </row>
    <row r="5">
      <c r="A5" s="63" t="s">
        <v>177</v>
      </c>
      <c r="B5" s="62" t="s">
        <v>18</v>
      </c>
      <c r="C5" s="64" t="s">
        <v>172</v>
      </c>
      <c r="D5" s="65">
        <v>0.14</v>
      </c>
      <c r="E5" s="63" t="s">
        <v>134</v>
      </c>
      <c r="F5" s="62"/>
      <c r="G5" s="62"/>
      <c r="H5" s="62"/>
      <c r="I5" s="62"/>
      <c r="J5" s="62"/>
      <c r="K5" s="62"/>
      <c r="L5" s="62"/>
      <c r="M5" s="62"/>
      <c r="N5" s="62"/>
      <c r="O5" s="62"/>
      <c r="P5" s="62"/>
      <c r="Q5" s="62"/>
      <c r="R5" s="62"/>
      <c r="S5" s="62"/>
      <c r="T5" s="62"/>
      <c r="U5" s="62"/>
      <c r="V5" s="62"/>
      <c r="W5" s="62"/>
      <c r="X5" s="62"/>
      <c r="Y5" s="62"/>
      <c r="Z5" s="62"/>
    </row>
    <row r="7">
      <c r="A7" s="55" t="s">
        <v>178</v>
      </c>
    </row>
  </sheetData>
  <hyperlinks>
    <hyperlink r:id="rId1" ref="A7"/>
  </hyperlinks>
  <drawing r:id="rId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25.25"/>
  </cols>
  <sheetData>
    <row r="1">
      <c r="A1" s="49" t="s">
        <v>37</v>
      </c>
      <c r="B1" s="49" t="s">
        <v>6</v>
      </c>
      <c r="C1" s="49" t="s">
        <v>179</v>
      </c>
      <c r="D1" s="49" t="s">
        <v>168</v>
      </c>
    </row>
    <row r="2">
      <c r="A2" s="52" t="s">
        <v>180</v>
      </c>
      <c r="B2" s="52" t="s">
        <v>181</v>
      </c>
      <c r="C2" s="54">
        <v>1.0</v>
      </c>
      <c r="D2" s="52" t="s">
        <v>114</v>
      </c>
    </row>
    <row r="3">
      <c r="A3" s="52" t="s">
        <v>182</v>
      </c>
      <c r="B3" s="52" t="s">
        <v>183</v>
      </c>
      <c r="C3" s="54">
        <v>0.66</v>
      </c>
      <c r="D3" s="52">
        <v>400.0</v>
      </c>
    </row>
    <row r="4">
      <c r="A4" s="52" t="s">
        <v>184</v>
      </c>
      <c r="B4" s="52" t="s">
        <v>185</v>
      </c>
      <c r="C4" s="54">
        <v>0.66</v>
      </c>
      <c r="D4" s="52">
        <v>160.0</v>
      </c>
    </row>
    <row r="5">
      <c r="A5" s="52" t="s">
        <v>186</v>
      </c>
      <c r="B5" s="52" t="s">
        <v>187</v>
      </c>
      <c r="C5" s="54">
        <v>0.75</v>
      </c>
      <c r="D5" s="52">
        <v>400.0</v>
      </c>
    </row>
    <row r="6">
      <c r="A6" s="52" t="s">
        <v>188</v>
      </c>
      <c r="B6" s="52" t="s">
        <v>189</v>
      </c>
      <c r="C6" s="54">
        <v>1.0</v>
      </c>
      <c r="D6" s="52">
        <v>200.0</v>
      </c>
    </row>
    <row r="7">
      <c r="A7" s="52" t="s">
        <v>190</v>
      </c>
      <c r="B7" s="52" t="s">
        <v>191</v>
      </c>
      <c r="C7" s="54">
        <v>1.0</v>
      </c>
      <c r="D7" s="52">
        <v>134.0</v>
      </c>
    </row>
    <row r="8">
      <c r="A8" s="52" t="s">
        <v>192</v>
      </c>
      <c r="B8" s="52" t="s">
        <v>193</v>
      </c>
      <c r="C8" s="54">
        <v>0.5</v>
      </c>
      <c r="D8" s="52">
        <v>80.0</v>
      </c>
    </row>
    <row r="9">
      <c r="A9" s="52" t="s">
        <v>194</v>
      </c>
      <c r="B9" s="52" t="s">
        <v>195</v>
      </c>
      <c r="C9" s="54">
        <v>0.5</v>
      </c>
      <c r="D9" s="52">
        <v>200.0</v>
      </c>
    </row>
    <row r="10">
      <c r="A10" s="52" t="s">
        <v>196</v>
      </c>
      <c r="B10" s="52" t="s">
        <v>197</v>
      </c>
      <c r="C10" s="54">
        <v>1.0</v>
      </c>
      <c r="D10" s="52" t="s">
        <v>114</v>
      </c>
    </row>
    <row r="11">
      <c r="A11" s="52" t="s">
        <v>198</v>
      </c>
      <c r="B11" s="52" t="s">
        <v>199</v>
      </c>
      <c r="C11" s="54">
        <v>0.8</v>
      </c>
      <c r="D11" s="52">
        <v>800.0</v>
      </c>
    </row>
    <row r="12">
      <c r="A12" s="52" t="s">
        <v>200</v>
      </c>
      <c r="B12" s="52" t="s">
        <v>201</v>
      </c>
      <c r="C12" s="54">
        <v>1.0</v>
      </c>
      <c r="D12" s="52">
        <v>400.0</v>
      </c>
    </row>
    <row r="13">
      <c r="A13" s="52" t="s">
        <v>202</v>
      </c>
      <c r="B13" s="52" t="s">
        <v>203</v>
      </c>
      <c r="C13" s="54">
        <v>1.0</v>
      </c>
      <c r="D13" s="52">
        <v>267.0</v>
      </c>
    </row>
    <row r="14">
      <c r="A14" s="52" t="s">
        <v>204</v>
      </c>
      <c r="B14" s="52" t="s">
        <v>205</v>
      </c>
      <c r="C14" s="54">
        <v>1.0</v>
      </c>
      <c r="D14" s="52">
        <v>100.0</v>
      </c>
    </row>
    <row r="15">
      <c r="A15" s="52" t="s">
        <v>206</v>
      </c>
      <c r="B15" s="52" t="s">
        <v>207</v>
      </c>
      <c r="C15" s="54">
        <v>1.0</v>
      </c>
      <c r="D15" s="52">
        <v>320.0</v>
      </c>
    </row>
    <row r="16">
      <c r="A16" s="52" t="s">
        <v>208</v>
      </c>
      <c r="B16" s="52" t="s">
        <v>209</v>
      </c>
      <c r="C16" s="54">
        <v>1.0</v>
      </c>
      <c r="D16" s="52">
        <v>800.0</v>
      </c>
    </row>
    <row r="17">
      <c r="A17" s="52" t="s">
        <v>210</v>
      </c>
      <c r="B17" s="52" t="s">
        <v>211</v>
      </c>
      <c r="C17" s="54">
        <v>1.0</v>
      </c>
      <c r="D17" s="52">
        <v>200.0</v>
      </c>
    </row>
    <row r="18">
      <c r="A18" s="52" t="s">
        <v>212</v>
      </c>
      <c r="B18" s="52" t="s">
        <v>213</v>
      </c>
      <c r="C18" s="54">
        <v>1.0</v>
      </c>
      <c r="D18" s="52" t="s">
        <v>114</v>
      </c>
    </row>
    <row r="19">
      <c r="A19" s="52" t="s">
        <v>214</v>
      </c>
      <c r="B19" s="52" t="s">
        <v>215</v>
      </c>
      <c r="C19" s="54">
        <v>0.5</v>
      </c>
      <c r="D19" s="52">
        <v>200.0</v>
      </c>
    </row>
  </sheetData>
  <drawing r:id="rId1"/>
  <tableParts count="1">
    <tablePart r:id="rId3"/>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25.25"/>
    <col customWidth="1" min="3" max="3" width="13.88"/>
    <col customWidth="1" min="8" max="8" width="13.5"/>
    <col customWidth="1" min="15" max="15" width="15.75"/>
  </cols>
  <sheetData>
    <row r="1">
      <c r="A1" s="49"/>
      <c r="B1" s="49" t="s">
        <v>6</v>
      </c>
      <c r="C1" s="49" t="s">
        <v>216</v>
      </c>
      <c r="D1" s="49" t="s">
        <v>217</v>
      </c>
      <c r="E1" s="49" t="s">
        <v>218</v>
      </c>
      <c r="F1" s="49" t="s">
        <v>219</v>
      </c>
      <c r="G1" s="49" t="s">
        <v>220</v>
      </c>
      <c r="H1" s="49" t="s">
        <v>221</v>
      </c>
      <c r="I1" s="49" t="s">
        <v>222</v>
      </c>
      <c r="J1" s="49" t="s">
        <v>223</v>
      </c>
      <c r="K1" s="49" t="s">
        <v>224</v>
      </c>
      <c r="L1" s="49" t="s">
        <v>225</v>
      </c>
      <c r="M1" s="48" t="s">
        <v>226</v>
      </c>
      <c r="N1" s="48" t="s">
        <v>227</v>
      </c>
      <c r="O1" s="48" t="s">
        <v>228</v>
      </c>
      <c r="P1" s="48" t="s">
        <v>229</v>
      </c>
      <c r="Q1" s="48" t="s">
        <v>230</v>
      </c>
      <c r="R1" s="49" t="s">
        <v>231</v>
      </c>
      <c r="S1" s="49" t="s">
        <v>168</v>
      </c>
      <c r="T1" s="49" t="s">
        <v>104</v>
      </c>
      <c r="U1" s="51"/>
      <c r="V1" s="40"/>
      <c r="W1" s="40"/>
      <c r="X1" s="40"/>
    </row>
    <row r="2">
      <c r="A2" s="52" t="s">
        <v>232</v>
      </c>
      <c r="B2" s="52" t="s">
        <v>233</v>
      </c>
      <c r="C2" s="52" t="s">
        <v>234</v>
      </c>
      <c r="D2" s="52" t="s">
        <v>235</v>
      </c>
      <c r="E2" s="66">
        <v>0.25</v>
      </c>
      <c r="F2" s="52" t="s">
        <v>114</v>
      </c>
      <c r="G2" s="52" t="s">
        <v>236</v>
      </c>
      <c r="H2" s="52" t="s">
        <v>237</v>
      </c>
      <c r="I2" s="52" t="s">
        <v>238</v>
      </c>
      <c r="J2" s="54">
        <v>0.25</v>
      </c>
      <c r="K2" s="52" t="s">
        <v>114</v>
      </c>
      <c r="L2" s="52" t="s">
        <v>239</v>
      </c>
      <c r="M2" s="11" t="s">
        <v>240</v>
      </c>
      <c r="N2" s="11" t="s">
        <v>241</v>
      </c>
      <c r="O2" s="67">
        <v>0.25</v>
      </c>
      <c r="P2" s="11" t="s">
        <v>242</v>
      </c>
      <c r="Q2" s="67">
        <v>0.3</v>
      </c>
      <c r="R2" s="52" t="s">
        <v>243</v>
      </c>
      <c r="S2" s="52">
        <v>100.0</v>
      </c>
      <c r="T2" s="52" t="s">
        <v>114</v>
      </c>
      <c r="U2" s="52"/>
      <c r="V2" s="40"/>
      <c r="W2" s="40"/>
      <c r="X2" s="40"/>
    </row>
    <row r="3">
      <c r="A3" s="52" t="s">
        <v>244</v>
      </c>
      <c r="B3" s="52" t="s">
        <v>245</v>
      </c>
      <c r="C3" s="11" t="s">
        <v>246</v>
      </c>
      <c r="D3" s="11" t="s">
        <v>235</v>
      </c>
      <c r="E3" s="66">
        <v>0.25</v>
      </c>
      <c r="F3" s="52" t="s">
        <v>114</v>
      </c>
      <c r="G3" s="52" t="s">
        <v>236</v>
      </c>
      <c r="H3" s="52" t="s">
        <v>247</v>
      </c>
      <c r="I3" s="52" t="s">
        <v>248</v>
      </c>
      <c r="J3" s="54">
        <v>0.25</v>
      </c>
      <c r="K3" s="52" t="s">
        <v>114</v>
      </c>
      <c r="L3" s="52" t="s">
        <v>236</v>
      </c>
      <c r="R3" s="52" t="s">
        <v>249</v>
      </c>
      <c r="S3" s="52">
        <v>67.0</v>
      </c>
      <c r="T3" s="52" t="s">
        <v>250</v>
      </c>
      <c r="U3" s="52"/>
      <c r="V3" s="40"/>
      <c r="W3" s="40"/>
      <c r="X3" s="40"/>
    </row>
    <row r="4">
      <c r="A4" s="52" t="s">
        <v>251</v>
      </c>
      <c r="B4" s="52" t="s">
        <v>252</v>
      </c>
      <c r="C4" s="52" t="s">
        <v>253</v>
      </c>
      <c r="D4" s="52" t="s">
        <v>254</v>
      </c>
      <c r="E4" s="66" t="s">
        <v>255</v>
      </c>
      <c r="F4" s="52" t="s">
        <v>256</v>
      </c>
      <c r="G4" s="52" t="s">
        <v>257</v>
      </c>
      <c r="H4" s="52" t="s">
        <v>114</v>
      </c>
      <c r="I4" s="52" t="s">
        <v>114</v>
      </c>
      <c r="J4" s="52" t="s">
        <v>114</v>
      </c>
      <c r="K4" s="52" t="s">
        <v>114</v>
      </c>
      <c r="L4" s="52" t="s">
        <v>258</v>
      </c>
      <c r="R4" s="52" t="s">
        <v>259</v>
      </c>
      <c r="S4" s="52" t="s">
        <v>114</v>
      </c>
      <c r="T4" s="52" t="s">
        <v>114</v>
      </c>
      <c r="U4" s="57"/>
      <c r="V4" s="40"/>
      <c r="W4" s="40"/>
      <c r="X4" s="40"/>
    </row>
    <row r="5">
      <c r="A5" s="52" t="s">
        <v>260</v>
      </c>
      <c r="B5" s="52" t="s">
        <v>261</v>
      </c>
      <c r="C5" s="52" t="s">
        <v>262</v>
      </c>
      <c r="D5" s="52" t="s">
        <v>235</v>
      </c>
      <c r="E5" s="66">
        <v>0.25</v>
      </c>
      <c r="F5" s="52" t="s">
        <v>114</v>
      </c>
      <c r="G5" s="52" t="s">
        <v>236</v>
      </c>
      <c r="H5" s="52" t="s">
        <v>263</v>
      </c>
      <c r="I5" s="52" t="s">
        <v>238</v>
      </c>
      <c r="J5" s="54">
        <v>0.25</v>
      </c>
      <c r="K5" s="52" t="s">
        <v>114</v>
      </c>
      <c r="L5" s="52" t="s">
        <v>239</v>
      </c>
      <c r="M5" s="11" t="s">
        <v>264</v>
      </c>
      <c r="N5" s="11" t="s">
        <v>241</v>
      </c>
      <c r="O5" s="54">
        <v>0.25</v>
      </c>
      <c r="P5" s="11" t="s">
        <v>265</v>
      </c>
      <c r="Q5" s="67">
        <v>0.3</v>
      </c>
      <c r="R5" s="52" t="s">
        <v>266</v>
      </c>
      <c r="S5" s="52">
        <v>100.0</v>
      </c>
      <c r="T5" s="52" t="s">
        <v>114</v>
      </c>
      <c r="U5" s="52"/>
      <c r="V5" s="40"/>
      <c r="W5" s="40"/>
      <c r="X5" s="40"/>
    </row>
    <row r="6">
      <c r="A6" s="52" t="s">
        <v>267</v>
      </c>
      <c r="B6" s="52" t="s">
        <v>268</v>
      </c>
      <c r="C6" s="52" t="s">
        <v>269</v>
      </c>
      <c r="D6" s="52" t="s">
        <v>270</v>
      </c>
      <c r="E6" s="66">
        <v>0.4</v>
      </c>
      <c r="F6" s="52" t="s">
        <v>271</v>
      </c>
      <c r="G6" s="52" t="s">
        <v>272</v>
      </c>
      <c r="H6" s="52" t="s">
        <v>269</v>
      </c>
      <c r="I6" s="52" t="s">
        <v>270</v>
      </c>
      <c r="J6" s="54">
        <v>0.6</v>
      </c>
      <c r="K6" s="52" t="s">
        <v>273</v>
      </c>
      <c r="L6" s="52" t="s">
        <v>272</v>
      </c>
      <c r="R6" s="52" t="s">
        <v>259</v>
      </c>
      <c r="S6" s="52">
        <v>167.0</v>
      </c>
      <c r="T6" s="52" t="s">
        <v>274</v>
      </c>
      <c r="U6" s="52"/>
      <c r="V6" s="40"/>
      <c r="W6" s="40"/>
      <c r="X6" s="40"/>
    </row>
    <row r="7">
      <c r="A7" s="52" t="s">
        <v>275</v>
      </c>
      <c r="B7" s="52" t="s">
        <v>276</v>
      </c>
      <c r="C7" s="52" t="s">
        <v>277</v>
      </c>
      <c r="D7" s="52" t="s">
        <v>278</v>
      </c>
      <c r="E7" s="66" t="s">
        <v>114</v>
      </c>
      <c r="F7" s="52" t="s">
        <v>279</v>
      </c>
      <c r="G7" s="52" t="s">
        <v>272</v>
      </c>
      <c r="H7" s="52" t="s">
        <v>114</v>
      </c>
      <c r="I7" s="52" t="s">
        <v>114</v>
      </c>
      <c r="J7" s="52" t="s">
        <v>114</v>
      </c>
      <c r="K7" s="52" t="s">
        <v>114</v>
      </c>
      <c r="L7" s="52" t="s">
        <v>258</v>
      </c>
      <c r="R7" s="52" t="s">
        <v>259</v>
      </c>
      <c r="S7" s="52" t="s">
        <v>114</v>
      </c>
      <c r="T7" s="52" t="s">
        <v>114</v>
      </c>
      <c r="U7" s="52"/>
      <c r="V7" s="40"/>
      <c r="W7" s="40"/>
      <c r="X7" s="40"/>
    </row>
    <row r="8">
      <c r="A8" s="52" t="s">
        <v>280</v>
      </c>
      <c r="B8" s="52" t="s">
        <v>281</v>
      </c>
      <c r="C8" s="52" t="s">
        <v>282</v>
      </c>
      <c r="D8" s="52" t="s">
        <v>235</v>
      </c>
      <c r="E8" s="68">
        <v>0.25</v>
      </c>
      <c r="F8" s="52" t="s">
        <v>114</v>
      </c>
      <c r="G8" s="52" t="s">
        <v>236</v>
      </c>
      <c r="H8" s="52" t="s">
        <v>283</v>
      </c>
      <c r="I8" s="52" t="s">
        <v>238</v>
      </c>
      <c r="J8" s="54">
        <v>0.25</v>
      </c>
      <c r="K8" s="52" t="s">
        <v>114</v>
      </c>
      <c r="L8" s="52" t="s">
        <v>239</v>
      </c>
      <c r="M8" s="11" t="s">
        <v>284</v>
      </c>
      <c r="N8" s="11" t="s">
        <v>285</v>
      </c>
      <c r="O8" s="67">
        <v>0.25</v>
      </c>
      <c r="P8" s="11" t="s">
        <v>286</v>
      </c>
      <c r="Q8" s="67">
        <v>0.3</v>
      </c>
      <c r="R8" s="52" t="s">
        <v>287</v>
      </c>
      <c r="S8" s="52">
        <v>100.0</v>
      </c>
      <c r="T8" s="52" t="s">
        <v>288</v>
      </c>
      <c r="U8" s="52"/>
      <c r="V8" s="40"/>
      <c r="W8" s="40"/>
      <c r="X8" s="40"/>
    </row>
    <row r="9">
      <c r="A9" s="52" t="s">
        <v>289</v>
      </c>
      <c r="B9" s="52" t="s">
        <v>290</v>
      </c>
      <c r="C9" s="52" t="s">
        <v>291</v>
      </c>
      <c r="D9" s="52" t="s">
        <v>235</v>
      </c>
      <c r="E9" s="66">
        <v>0.25</v>
      </c>
      <c r="F9" s="52" t="s">
        <v>114</v>
      </c>
      <c r="G9" s="52" t="s">
        <v>236</v>
      </c>
      <c r="H9" s="52" t="s">
        <v>292</v>
      </c>
      <c r="I9" s="52" t="s">
        <v>238</v>
      </c>
      <c r="J9" s="54">
        <v>0.25</v>
      </c>
      <c r="K9" s="52" t="s">
        <v>114</v>
      </c>
      <c r="L9" s="52" t="s">
        <v>239</v>
      </c>
      <c r="M9" s="11" t="s">
        <v>293</v>
      </c>
      <c r="N9" s="11" t="s">
        <v>241</v>
      </c>
      <c r="O9" s="54">
        <v>0.25</v>
      </c>
      <c r="P9" s="11" t="s">
        <v>286</v>
      </c>
      <c r="Q9" s="67">
        <v>0.3</v>
      </c>
      <c r="R9" s="52" t="s">
        <v>249</v>
      </c>
      <c r="S9" s="52">
        <v>100.0</v>
      </c>
      <c r="T9" s="52" t="s">
        <v>134</v>
      </c>
      <c r="U9" s="52"/>
      <c r="V9" s="40"/>
      <c r="W9" s="40"/>
      <c r="X9" s="40"/>
    </row>
    <row r="10">
      <c r="A10" s="52" t="s">
        <v>294</v>
      </c>
      <c r="B10" s="52" t="s">
        <v>11</v>
      </c>
      <c r="C10" s="52" t="s">
        <v>295</v>
      </c>
      <c r="D10" s="52" t="s">
        <v>235</v>
      </c>
      <c r="E10" s="66">
        <v>0.25</v>
      </c>
      <c r="F10" s="52" t="s">
        <v>114</v>
      </c>
      <c r="G10" s="52" t="s">
        <v>236</v>
      </c>
      <c r="H10" s="52" t="s">
        <v>296</v>
      </c>
      <c r="I10" s="52" t="s">
        <v>248</v>
      </c>
      <c r="J10" s="66">
        <v>0.25</v>
      </c>
      <c r="K10" s="52" t="s">
        <v>114</v>
      </c>
      <c r="L10" s="52" t="s">
        <v>236</v>
      </c>
      <c r="R10" s="52" t="s">
        <v>249</v>
      </c>
      <c r="S10" s="52">
        <v>40.0</v>
      </c>
      <c r="T10" s="52" t="s">
        <v>250</v>
      </c>
      <c r="U10" s="52"/>
      <c r="V10" s="40"/>
      <c r="W10" s="40"/>
      <c r="X10" s="40"/>
    </row>
    <row r="11">
      <c r="A11" s="52" t="s">
        <v>297</v>
      </c>
      <c r="B11" s="52" t="s">
        <v>298</v>
      </c>
      <c r="C11" s="52" t="s">
        <v>299</v>
      </c>
      <c r="D11" s="52" t="s">
        <v>235</v>
      </c>
      <c r="E11" s="66">
        <v>0.25</v>
      </c>
      <c r="F11" s="52" t="s">
        <v>114</v>
      </c>
      <c r="G11" s="52" t="s">
        <v>236</v>
      </c>
      <c r="H11" s="52" t="s">
        <v>300</v>
      </c>
      <c r="I11" s="52" t="s">
        <v>238</v>
      </c>
      <c r="J11" s="54">
        <v>0.25</v>
      </c>
      <c r="K11" s="52" t="s">
        <v>114</v>
      </c>
      <c r="L11" s="52" t="s">
        <v>239</v>
      </c>
      <c r="M11" s="11" t="s">
        <v>301</v>
      </c>
      <c r="N11" s="11" t="s">
        <v>285</v>
      </c>
      <c r="O11" s="67">
        <v>0.25</v>
      </c>
      <c r="P11" s="11" t="s">
        <v>286</v>
      </c>
      <c r="Q11" s="67">
        <v>0.3</v>
      </c>
      <c r="R11" s="52" t="s">
        <v>287</v>
      </c>
      <c r="S11" s="52">
        <v>100.0</v>
      </c>
      <c r="T11" s="52" t="s">
        <v>302</v>
      </c>
      <c r="U11" s="52"/>
      <c r="V11" s="40"/>
      <c r="W11" s="40"/>
      <c r="X11" s="40"/>
      <c r="Y11" s="56"/>
      <c r="Z11" s="56"/>
      <c r="AA11" s="56"/>
      <c r="AB11" s="56"/>
    </row>
    <row r="12">
      <c r="A12" s="52" t="s">
        <v>303</v>
      </c>
      <c r="B12" s="52" t="s">
        <v>304</v>
      </c>
      <c r="C12" s="52" t="s">
        <v>305</v>
      </c>
      <c r="D12" s="52" t="s">
        <v>235</v>
      </c>
      <c r="E12" s="66">
        <v>0.25</v>
      </c>
      <c r="F12" s="52" t="s">
        <v>306</v>
      </c>
      <c r="G12" s="52" t="s">
        <v>236</v>
      </c>
      <c r="H12" s="52"/>
      <c r="I12" s="52"/>
      <c r="J12" s="52"/>
      <c r="K12" s="53"/>
      <c r="L12" s="52"/>
      <c r="R12" s="52" t="s">
        <v>249</v>
      </c>
      <c r="S12" s="52">
        <v>100.0</v>
      </c>
      <c r="T12" s="52" t="s">
        <v>134</v>
      </c>
      <c r="U12" s="52"/>
      <c r="V12" s="40"/>
      <c r="W12" s="40"/>
      <c r="X12" s="40"/>
      <c r="Y12" s="56"/>
      <c r="Z12" s="56"/>
      <c r="AA12" s="56"/>
      <c r="AB12" s="56"/>
    </row>
    <row r="13">
      <c r="A13" s="52" t="s">
        <v>307</v>
      </c>
      <c r="B13" s="52" t="s">
        <v>308</v>
      </c>
      <c r="C13" s="52" t="s">
        <v>309</v>
      </c>
      <c r="D13" s="52" t="s">
        <v>235</v>
      </c>
      <c r="E13" s="66">
        <v>0.25</v>
      </c>
      <c r="F13" s="52" t="s">
        <v>114</v>
      </c>
      <c r="G13" s="52" t="s">
        <v>236</v>
      </c>
      <c r="H13" s="52" t="s">
        <v>310</v>
      </c>
      <c r="I13" s="52" t="s">
        <v>238</v>
      </c>
      <c r="J13" s="66">
        <v>0.25</v>
      </c>
      <c r="K13" s="52" t="s">
        <v>114</v>
      </c>
      <c r="L13" s="52" t="s">
        <v>239</v>
      </c>
      <c r="M13" s="11" t="s">
        <v>311</v>
      </c>
      <c r="N13" s="11" t="s">
        <v>241</v>
      </c>
      <c r="O13" s="67">
        <v>0.25</v>
      </c>
      <c r="P13" s="11" t="s">
        <v>286</v>
      </c>
      <c r="Q13" s="67">
        <v>0.3</v>
      </c>
      <c r="R13" s="52" t="s">
        <v>249</v>
      </c>
      <c r="S13" s="52">
        <v>100.0</v>
      </c>
      <c r="T13" s="52" t="s">
        <v>150</v>
      </c>
      <c r="U13" s="52"/>
      <c r="V13" s="40"/>
      <c r="W13" s="40"/>
      <c r="X13" s="40"/>
      <c r="Y13" s="56"/>
      <c r="Z13" s="56"/>
      <c r="AA13" s="56"/>
      <c r="AB13" s="56"/>
    </row>
    <row r="14">
      <c r="A14" s="52" t="s">
        <v>312</v>
      </c>
      <c r="B14" s="52" t="s">
        <v>313</v>
      </c>
      <c r="C14" s="52" t="s">
        <v>314</v>
      </c>
      <c r="D14" s="52" t="s">
        <v>235</v>
      </c>
      <c r="E14" s="68">
        <v>0.25</v>
      </c>
      <c r="F14" s="52" t="s">
        <v>114</v>
      </c>
      <c r="G14" s="52" t="s">
        <v>236</v>
      </c>
      <c r="H14" s="52" t="s">
        <v>315</v>
      </c>
      <c r="I14" s="52" t="s">
        <v>248</v>
      </c>
      <c r="J14" s="66">
        <v>0.25</v>
      </c>
      <c r="K14" s="52" t="s">
        <v>114</v>
      </c>
      <c r="L14" s="52" t="s">
        <v>236</v>
      </c>
      <c r="R14" s="52" t="s">
        <v>249</v>
      </c>
      <c r="S14" s="56"/>
      <c r="T14" s="52" t="s">
        <v>114</v>
      </c>
      <c r="U14" s="57"/>
      <c r="V14" s="40"/>
      <c r="W14" s="40"/>
      <c r="X14" s="40"/>
      <c r="Y14" s="56"/>
      <c r="Z14" s="56"/>
      <c r="AA14" s="56"/>
      <c r="AB14" s="56"/>
    </row>
    <row r="15">
      <c r="A15" s="52" t="s">
        <v>316</v>
      </c>
      <c r="B15" s="52" t="s">
        <v>317</v>
      </c>
      <c r="C15" s="52" t="s">
        <v>318</v>
      </c>
      <c r="D15" s="52" t="s">
        <v>235</v>
      </c>
      <c r="E15" s="66">
        <v>0.25</v>
      </c>
      <c r="F15" s="52" t="s">
        <v>114</v>
      </c>
      <c r="G15" s="52" t="s">
        <v>257</v>
      </c>
      <c r="H15" s="52" t="s">
        <v>319</v>
      </c>
      <c r="I15" s="52" t="s">
        <v>248</v>
      </c>
      <c r="J15" s="54">
        <v>0.25</v>
      </c>
      <c r="K15" s="52" t="s">
        <v>320</v>
      </c>
      <c r="L15" s="52" t="s">
        <v>257</v>
      </c>
      <c r="R15" s="52" t="s">
        <v>249</v>
      </c>
      <c r="S15" s="52">
        <v>100.0</v>
      </c>
      <c r="T15" s="52" t="s">
        <v>321</v>
      </c>
      <c r="U15" s="57"/>
      <c r="V15" s="40"/>
      <c r="W15" s="40"/>
      <c r="X15" s="40"/>
      <c r="Y15" s="56"/>
      <c r="Z15" s="56"/>
      <c r="AA15" s="56"/>
      <c r="AB15" s="56"/>
    </row>
    <row r="16">
      <c r="A16" s="52" t="s">
        <v>322</v>
      </c>
      <c r="B16" s="52" t="s">
        <v>323</v>
      </c>
      <c r="C16" s="52" t="s">
        <v>324</v>
      </c>
      <c r="D16" s="52" t="s">
        <v>270</v>
      </c>
      <c r="E16" s="68">
        <v>0.6</v>
      </c>
      <c r="F16" s="52" t="s">
        <v>325</v>
      </c>
      <c r="G16" s="52" t="s">
        <v>272</v>
      </c>
      <c r="H16" s="52" t="s">
        <v>326</v>
      </c>
      <c r="I16" s="52" t="s">
        <v>270</v>
      </c>
      <c r="J16" s="54">
        <v>0.7</v>
      </c>
      <c r="K16" s="52" t="s">
        <v>327</v>
      </c>
      <c r="L16" s="52" t="s">
        <v>257</v>
      </c>
      <c r="R16" s="52" t="s">
        <v>259</v>
      </c>
      <c r="S16" s="52">
        <v>167.0</v>
      </c>
      <c r="T16" s="52" t="s">
        <v>328</v>
      </c>
      <c r="U16" s="57"/>
      <c r="V16" s="40"/>
      <c r="W16" s="40"/>
      <c r="X16" s="40"/>
      <c r="Y16" s="56"/>
      <c r="Z16" s="56"/>
      <c r="AA16" s="56"/>
      <c r="AB16" s="56"/>
    </row>
    <row r="17">
      <c r="A17" s="52" t="s">
        <v>329</v>
      </c>
      <c r="B17" s="52" t="s">
        <v>330</v>
      </c>
      <c r="C17" s="52" t="s">
        <v>331</v>
      </c>
      <c r="D17" s="52" t="s">
        <v>235</v>
      </c>
      <c r="E17" s="66">
        <v>0.25</v>
      </c>
      <c r="F17" s="52" t="s">
        <v>114</v>
      </c>
      <c r="G17" s="52" t="s">
        <v>236</v>
      </c>
      <c r="H17" s="52" t="s">
        <v>332</v>
      </c>
      <c r="I17" s="52" t="s">
        <v>238</v>
      </c>
      <c r="J17" s="66">
        <v>0.25</v>
      </c>
      <c r="K17" s="52" t="s">
        <v>114</v>
      </c>
      <c r="L17" s="52" t="s">
        <v>239</v>
      </c>
      <c r="M17" s="11" t="s">
        <v>333</v>
      </c>
      <c r="N17" s="11" t="s">
        <v>241</v>
      </c>
      <c r="O17" s="67">
        <v>0.25</v>
      </c>
      <c r="P17" s="11" t="s">
        <v>286</v>
      </c>
      <c r="Q17" s="67">
        <v>0.3</v>
      </c>
      <c r="R17" s="52" t="s">
        <v>249</v>
      </c>
      <c r="S17" s="52">
        <v>100.0</v>
      </c>
      <c r="T17" s="52" t="s">
        <v>334</v>
      </c>
      <c r="U17" s="57"/>
      <c r="V17" s="40"/>
      <c r="W17" s="40"/>
      <c r="X17" s="40"/>
      <c r="Y17" s="56"/>
      <c r="Z17" s="56"/>
      <c r="AA17" s="56"/>
      <c r="AB17" s="56"/>
    </row>
    <row r="18">
      <c r="A18" s="52" t="s">
        <v>335</v>
      </c>
      <c r="B18" s="52" t="s">
        <v>336</v>
      </c>
      <c r="C18" s="52" t="s">
        <v>337</v>
      </c>
      <c r="D18" s="52" t="s">
        <v>248</v>
      </c>
      <c r="E18" s="66" t="s">
        <v>114</v>
      </c>
      <c r="F18" s="52" t="s">
        <v>338</v>
      </c>
      <c r="G18" s="52" t="s">
        <v>257</v>
      </c>
      <c r="H18" s="52" t="s">
        <v>114</v>
      </c>
      <c r="I18" s="52" t="s">
        <v>114</v>
      </c>
      <c r="J18" s="52" t="s">
        <v>114</v>
      </c>
      <c r="K18" s="52" t="s">
        <v>114</v>
      </c>
      <c r="L18" s="52" t="s">
        <v>258</v>
      </c>
      <c r="R18" s="52" t="s">
        <v>259</v>
      </c>
      <c r="S18" s="52" t="s">
        <v>114</v>
      </c>
      <c r="T18" s="52" t="s">
        <v>114</v>
      </c>
      <c r="U18" s="57"/>
      <c r="V18" s="40"/>
      <c r="W18" s="40"/>
      <c r="X18" s="40"/>
      <c r="Y18" s="56"/>
      <c r="Z18" s="56"/>
      <c r="AA18" s="56"/>
      <c r="AB18" s="56"/>
    </row>
    <row r="19">
      <c r="A19" s="52" t="s">
        <v>339</v>
      </c>
      <c r="B19" s="52" t="s">
        <v>340</v>
      </c>
      <c r="C19" s="52" t="s">
        <v>341</v>
      </c>
      <c r="D19" s="52" t="s">
        <v>278</v>
      </c>
      <c r="E19" s="66" t="s">
        <v>114</v>
      </c>
      <c r="F19" s="52" t="s">
        <v>279</v>
      </c>
      <c r="G19" s="52" t="s">
        <v>272</v>
      </c>
      <c r="H19" s="52" t="s">
        <v>114</v>
      </c>
      <c r="I19" s="52" t="s">
        <v>114</v>
      </c>
      <c r="J19" s="52" t="s">
        <v>114</v>
      </c>
      <c r="K19" s="52" t="s">
        <v>114</v>
      </c>
      <c r="L19" s="52" t="s">
        <v>258</v>
      </c>
      <c r="R19" s="52" t="s">
        <v>259</v>
      </c>
      <c r="S19" s="52" t="s">
        <v>114</v>
      </c>
      <c r="T19" s="52" t="s">
        <v>114</v>
      </c>
      <c r="U19" s="57"/>
      <c r="V19" s="40"/>
      <c r="W19" s="40"/>
      <c r="X19" s="40"/>
      <c r="Y19" s="56"/>
      <c r="Z19" s="56"/>
      <c r="AA19" s="56"/>
      <c r="AB19" s="56"/>
    </row>
    <row r="20">
      <c r="A20" s="52" t="s">
        <v>342</v>
      </c>
      <c r="B20" s="52" t="s">
        <v>343</v>
      </c>
      <c r="C20" s="52" t="s">
        <v>344</v>
      </c>
      <c r="D20" s="52" t="s">
        <v>270</v>
      </c>
      <c r="E20" s="66">
        <v>0.4</v>
      </c>
      <c r="F20" s="52" t="s">
        <v>271</v>
      </c>
      <c r="G20" s="52" t="s">
        <v>272</v>
      </c>
      <c r="H20" s="52" t="s">
        <v>344</v>
      </c>
      <c r="I20" s="52" t="s">
        <v>270</v>
      </c>
      <c r="J20" s="54">
        <v>0.6</v>
      </c>
      <c r="K20" s="52" t="s">
        <v>273</v>
      </c>
      <c r="L20" s="52" t="s">
        <v>272</v>
      </c>
      <c r="R20" s="52" t="s">
        <v>259</v>
      </c>
      <c r="S20" s="52">
        <v>167.0</v>
      </c>
      <c r="T20" s="52" t="s">
        <v>345</v>
      </c>
      <c r="U20" s="57"/>
      <c r="V20" s="40"/>
      <c r="W20" s="40"/>
      <c r="X20" s="40"/>
      <c r="Y20" s="56"/>
      <c r="Z20" s="56"/>
      <c r="AA20" s="56"/>
      <c r="AB20" s="56"/>
    </row>
    <row r="21">
      <c r="A21" s="52" t="s">
        <v>346</v>
      </c>
      <c r="B21" s="52" t="s">
        <v>347</v>
      </c>
      <c r="C21" s="52" t="s">
        <v>348</v>
      </c>
      <c r="D21" s="52" t="s">
        <v>235</v>
      </c>
      <c r="E21" s="66">
        <v>0.25</v>
      </c>
      <c r="F21" s="52" t="s">
        <v>114</v>
      </c>
      <c r="G21" s="52" t="s">
        <v>236</v>
      </c>
      <c r="H21" s="52" t="s">
        <v>349</v>
      </c>
      <c r="I21" s="52" t="s">
        <v>238</v>
      </c>
      <c r="J21" s="66">
        <v>0.25</v>
      </c>
      <c r="K21" s="52" t="s">
        <v>114</v>
      </c>
      <c r="L21" s="52" t="s">
        <v>239</v>
      </c>
      <c r="M21" s="11" t="s">
        <v>350</v>
      </c>
      <c r="N21" s="11" t="s">
        <v>285</v>
      </c>
      <c r="O21" s="67">
        <v>0.25</v>
      </c>
      <c r="P21" s="11" t="s">
        <v>286</v>
      </c>
      <c r="Q21" s="67">
        <v>0.3</v>
      </c>
      <c r="R21" s="52" t="s">
        <v>287</v>
      </c>
      <c r="S21" s="52">
        <v>100.0</v>
      </c>
      <c r="T21" s="52" t="s">
        <v>334</v>
      </c>
      <c r="U21" s="57"/>
      <c r="V21" s="40"/>
      <c r="W21" s="40"/>
      <c r="X21" s="40"/>
      <c r="Y21" s="56"/>
      <c r="Z21" s="56"/>
      <c r="AA21" s="56"/>
      <c r="AB21" s="56"/>
    </row>
    <row r="22">
      <c r="A22" s="52" t="s">
        <v>351</v>
      </c>
      <c r="B22" s="52" t="s">
        <v>352</v>
      </c>
      <c r="C22" s="52" t="s">
        <v>353</v>
      </c>
      <c r="D22" s="52" t="s">
        <v>235</v>
      </c>
      <c r="E22" s="66">
        <v>0.25</v>
      </c>
      <c r="F22" s="52" t="s">
        <v>114</v>
      </c>
      <c r="G22" s="52" t="s">
        <v>236</v>
      </c>
      <c r="H22" s="52" t="s">
        <v>354</v>
      </c>
      <c r="I22" s="52" t="s">
        <v>238</v>
      </c>
      <c r="J22" s="66">
        <v>0.25</v>
      </c>
      <c r="K22" s="52" t="s">
        <v>114</v>
      </c>
      <c r="L22" s="52" t="s">
        <v>239</v>
      </c>
      <c r="M22" s="11" t="s">
        <v>355</v>
      </c>
      <c r="N22" s="11" t="s">
        <v>241</v>
      </c>
      <c r="O22" s="67">
        <v>0.25</v>
      </c>
      <c r="P22" s="11" t="s">
        <v>286</v>
      </c>
      <c r="Q22" s="67">
        <v>0.3</v>
      </c>
      <c r="R22" s="52" t="s">
        <v>249</v>
      </c>
      <c r="S22" s="52">
        <v>100.0</v>
      </c>
      <c r="T22" s="52" t="s">
        <v>288</v>
      </c>
      <c r="U22" s="57"/>
      <c r="V22" s="40"/>
      <c r="W22" s="40"/>
      <c r="X22" s="40"/>
      <c r="Y22" s="56"/>
      <c r="Z22" s="56"/>
      <c r="AA22" s="56"/>
      <c r="AB22" s="56"/>
    </row>
    <row r="23">
      <c r="A23" s="52" t="s">
        <v>356</v>
      </c>
      <c r="B23" s="52" t="s">
        <v>357</v>
      </c>
      <c r="C23" s="52" t="s">
        <v>326</v>
      </c>
      <c r="D23" s="52" t="s">
        <v>270</v>
      </c>
      <c r="E23" s="66">
        <v>0.1</v>
      </c>
      <c r="F23" s="52" t="s">
        <v>271</v>
      </c>
      <c r="G23" s="52" t="s">
        <v>272</v>
      </c>
      <c r="H23" s="52" t="s">
        <v>326</v>
      </c>
      <c r="I23" s="52" t="s">
        <v>270</v>
      </c>
      <c r="J23" s="54">
        <v>0.3</v>
      </c>
      <c r="K23" s="52" t="s">
        <v>273</v>
      </c>
      <c r="L23" s="52" t="s">
        <v>272</v>
      </c>
      <c r="R23" s="52" t="s">
        <v>259</v>
      </c>
      <c r="S23" s="52">
        <v>167.0</v>
      </c>
      <c r="T23" s="52" t="s">
        <v>328</v>
      </c>
      <c r="U23" s="57"/>
      <c r="V23" s="40"/>
      <c r="W23" s="40"/>
      <c r="X23" s="40"/>
      <c r="Y23" s="56"/>
      <c r="Z23" s="56"/>
      <c r="AA23" s="56"/>
      <c r="AB23" s="56"/>
    </row>
    <row r="24">
      <c r="A24" s="52" t="s">
        <v>358</v>
      </c>
      <c r="B24" s="52" t="s">
        <v>359</v>
      </c>
      <c r="C24" s="52" t="s">
        <v>360</v>
      </c>
      <c r="D24" s="52" t="s">
        <v>235</v>
      </c>
      <c r="E24" s="66">
        <v>0.25</v>
      </c>
      <c r="F24" s="52" t="s">
        <v>114</v>
      </c>
      <c r="G24" s="52" t="s">
        <v>236</v>
      </c>
      <c r="H24" s="52" t="s">
        <v>361</v>
      </c>
      <c r="I24" s="52" t="s">
        <v>248</v>
      </c>
      <c r="J24" s="66">
        <v>0.25</v>
      </c>
      <c r="K24" s="52" t="s">
        <v>114</v>
      </c>
      <c r="L24" s="52" t="s">
        <v>236</v>
      </c>
      <c r="R24" s="52" t="s">
        <v>249</v>
      </c>
      <c r="S24" s="52">
        <v>134.0</v>
      </c>
      <c r="T24" s="52" t="s">
        <v>362</v>
      </c>
      <c r="U24" s="57"/>
      <c r="V24" s="40"/>
      <c r="W24" s="40"/>
      <c r="X24" s="40"/>
      <c r="Y24" s="56"/>
      <c r="Z24" s="56"/>
      <c r="AA24" s="56"/>
      <c r="AB24" s="56"/>
    </row>
    <row r="25">
      <c r="A25" s="52" t="s">
        <v>363</v>
      </c>
      <c r="B25" s="52" t="s">
        <v>364</v>
      </c>
      <c r="C25" s="52" t="s">
        <v>365</v>
      </c>
      <c r="D25" s="52" t="s">
        <v>366</v>
      </c>
      <c r="E25" s="66" t="s">
        <v>114</v>
      </c>
      <c r="F25" s="52" t="s">
        <v>114</v>
      </c>
      <c r="G25" s="52" t="s">
        <v>257</v>
      </c>
      <c r="H25" s="52" t="s">
        <v>367</v>
      </c>
      <c r="I25" s="52" t="s">
        <v>368</v>
      </c>
      <c r="J25" s="52" t="s">
        <v>114</v>
      </c>
      <c r="K25" s="52" t="s">
        <v>369</v>
      </c>
      <c r="L25" s="52" t="s">
        <v>257</v>
      </c>
      <c r="R25" s="52" t="s">
        <v>259</v>
      </c>
      <c r="S25" s="52" t="s">
        <v>114</v>
      </c>
      <c r="T25" s="52" t="s">
        <v>114</v>
      </c>
      <c r="U25" s="57"/>
      <c r="V25" s="40"/>
      <c r="W25" s="40"/>
      <c r="X25" s="40"/>
      <c r="Y25" s="56"/>
      <c r="Z25" s="56"/>
      <c r="AA25" s="56"/>
      <c r="AB25" s="56"/>
    </row>
    <row r="26">
      <c r="A26" s="52" t="s">
        <v>370</v>
      </c>
      <c r="B26" s="52" t="s">
        <v>371</v>
      </c>
      <c r="C26" s="52" t="s">
        <v>114</v>
      </c>
      <c r="D26" s="52" t="s">
        <v>114</v>
      </c>
      <c r="E26" s="66" t="s">
        <v>114</v>
      </c>
      <c r="F26" s="52" t="s">
        <v>114</v>
      </c>
      <c r="G26" s="52" t="s">
        <v>258</v>
      </c>
      <c r="H26" s="52" t="s">
        <v>114</v>
      </c>
      <c r="I26" s="52" t="s">
        <v>114</v>
      </c>
      <c r="J26" s="52" t="s">
        <v>114</v>
      </c>
      <c r="K26" s="52" t="s">
        <v>114</v>
      </c>
      <c r="L26" s="52" t="s">
        <v>258</v>
      </c>
      <c r="R26" s="52" t="s">
        <v>259</v>
      </c>
      <c r="S26" s="52" t="s">
        <v>114</v>
      </c>
      <c r="T26" s="52" t="s">
        <v>114</v>
      </c>
      <c r="U26" s="57"/>
      <c r="V26" s="40"/>
      <c r="W26" s="40"/>
      <c r="X26" s="40"/>
      <c r="Y26" s="56"/>
      <c r="Z26" s="56"/>
      <c r="AA26" s="56"/>
      <c r="AB26" s="56"/>
    </row>
    <row r="27">
      <c r="A27" s="69" t="s">
        <v>372</v>
      </c>
      <c r="B27" s="69" t="s">
        <v>201</v>
      </c>
      <c r="C27" s="69" t="s">
        <v>373</v>
      </c>
      <c r="D27" s="69" t="s">
        <v>235</v>
      </c>
      <c r="E27" s="66">
        <v>0.25</v>
      </c>
      <c r="F27" s="69" t="s">
        <v>374</v>
      </c>
      <c r="G27" s="69" t="s">
        <v>236</v>
      </c>
      <c r="H27" s="69"/>
      <c r="I27" s="69"/>
      <c r="J27" s="66"/>
      <c r="K27" s="69"/>
      <c r="L27" s="69"/>
      <c r="M27" s="69"/>
      <c r="N27" s="69"/>
      <c r="O27" s="66"/>
      <c r="P27" s="69"/>
      <c r="Q27" s="69"/>
      <c r="R27" s="69" t="s">
        <v>249</v>
      </c>
      <c r="S27" s="69">
        <v>400.0</v>
      </c>
      <c r="T27" s="69" t="s">
        <v>134</v>
      </c>
    </row>
    <row r="28">
      <c r="A28" s="11" t="s">
        <v>375</v>
      </c>
      <c r="B28" s="70" t="s">
        <v>376</v>
      </c>
      <c r="C28" s="11" t="s">
        <v>377</v>
      </c>
      <c r="D28" s="11" t="s">
        <v>378</v>
      </c>
      <c r="E28" s="66">
        <v>0.55</v>
      </c>
      <c r="F28" s="11" t="s">
        <v>379</v>
      </c>
      <c r="G28" s="11" t="s">
        <v>257</v>
      </c>
      <c r="H28" s="11" t="s">
        <v>114</v>
      </c>
      <c r="I28" s="11" t="s">
        <v>114</v>
      </c>
      <c r="J28" s="11" t="s">
        <v>114</v>
      </c>
      <c r="K28" s="11" t="s">
        <v>114</v>
      </c>
      <c r="L28" s="11" t="s">
        <v>114</v>
      </c>
      <c r="R28" s="11" t="s">
        <v>259</v>
      </c>
      <c r="S28" s="11" t="s">
        <v>114</v>
      </c>
      <c r="T28" s="11" t="s">
        <v>114</v>
      </c>
    </row>
    <row r="29">
      <c r="A29" s="11" t="s">
        <v>380</v>
      </c>
      <c r="B29" s="11" t="s">
        <v>185</v>
      </c>
      <c r="C29" s="11" t="s">
        <v>381</v>
      </c>
      <c r="D29" s="11" t="s">
        <v>366</v>
      </c>
      <c r="E29" s="68">
        <v>0.25</v>
      </c>
      <c r="G29" s="11" t="s">
        <v>257</v>
      </c>
      <c r="S29" s="11">
        <v>160.0</v>
      </c>
    </row>
    <row r="30">
      <c r="A30" s="11" t="s">
        <v>382</v>
      </c>
      <c r="B30" s="11" t="s">
        <v>193</v>
      </c>
      <c r="C30" s="11" t="s">
        <v>383</v>
      </c>
      <c r="D30" s="11" t="s">
        <v>366</v>
      </c>
      <c r="E30" s="67">
        <v>0.25</v>
      </c>
      <c r="G30" s="11" t="s">
        <v>257</v>
      </c>
      <c r="S30" s="11">
        <v>80.0</v>
      </c>
    </row>
    <row r="31">
      <c r="A31" s="11" t="s">
        <v>384</v>
      </c>
      <c r="B31" s="11" t="s">
        <v>207</v>
      </c>
      <c r="C31" s="11" t="s">
        <v>341</v>
      </c>
      <c r="D31" s="11" t="s">
        <v>366</v>
      </c>
      <c r="E31" s="67">
        <v>0.25</v>
      </c>
      <c r="G31" s="11" t="s">
        <v>257</v>
      </c>
      <c r="S31" s="11">
        <v>320.0</v>
      </c>
    </row>
    <row r="33">
      <c r="A33" s="71" t="s">
        <v>385</v>
      </c>
    </row>
    <row r="36">
      <c r="A36" s="52" t="s">
        <v>386</v>
      </c>
      <c r="B36" s="52" t="s">
        <v>387</v>
      </c>
      <c r="C36" s="52" t="s">
        <v>388</v>
      </c>
      <c r="D36" s="52" t="s">
        <v>389</v>
      </c>
      <c r="E36" s="11" t="s">
        <v>390</v>
      </c>
      <c r="F36" s="11" t="s">
        <v>391</v>
      </c>
      <c r="G36" s="11" t="s">
        <v>392</v>
      </c>
    </row>
    <row r="37">
      <c r="A37" s="52" t="s">
        <v>393</v>
      </c>
      <c r="B37" s="54">
        <v>0.75</v>
      </c>
      <c r="C37" s="54">
        <v>1.0</v>
      </c>
      <c r="D37" s="54">
        <v>0.5</v>
      </c>
      <c r="E37" s="67">
        <v>0.1</v>
      </c>
      <c r="F37" s="67">
        <v>0.0</v>
      </c>
      <c r="G37" s="67">
        <v>0.0</v>
      </c>
    </row>
    <row r="38">
      <c r="A38" s="52" t="s">
        <v>394</v>
      </c>
      <c r="B38" s="54">
        <v>0.75</v>
      </c>
      <c r="C38" s="54">
        <v>1.0</v>
      </c>
      <c r="D38" s="54">
        <v>0.5</v>
      </c>
      <c r="E38" s="67">
        <v>0.1</v>
      </c>
      <c r="F38" s="67">
        <v>0.0</v>
      </c>
      <c r="G38" s="67">
        <v>0.0</v>
      </c>
    </row>
    <row r="39">
      <c r="A39" s="52" t="s">
        <v>395</v>
      </c>
      <c r="B39" s="54">
        <v>1.0</v>
      </c>
      <c r="C39" s="54">
        <v>0.5</v>
      </c>
      <c r="D39" s="54">
        <v>0.25</v>
      </c>
      <c r="E39" s="67">
        <v>0.0</v>
      </c>
      <c r="F39" s="67">
        <v>0.0</v>
      </c>
      <c r="G39" s="67">
        <v>0.0</v>
      </c>
    </row>
    <row r="40">
      <c r="A40" s="52" t="s">
        <v>396</v>
      </c>
      <c r="B40" s="54">
        <v>0.3</v>
      </c>
      <c r="C40" s="54">
        <v>0.3</v>
      </c>
      <c r="D40" s="54">
        <v>0.3</v>
      </c>
      <c r="E40" s="67">
        <v>1.0</v>
      </c>
      <c r="F40" s="67">
        <v>1.0</v>
      </c>
      <c r="G40" s="67">
        <v>5.0</v>
      </c>
    </row>
    <row r="41">
      <c r="A41" s="52" t="s">
        <v>397</v>
      </c>
      <c r="B41" s="54">
        <v>1.0</v>
      </c>
      <c r="C41" s="54">
        <v>1.0</v>
      </c>
      <c r="D41" s="54">
        <v>0.5</v>
      </c>
      <c r="E41" s="67">
        <v>0.1</v>
      </c>
      <c r="F41" s="67">
        <v>0.0</v>
      </c>
      <c r="G41" s="67">
        <v>0.1</v>
      </c>
    </row>
    <row r="42">
      <c r="A42" s="52" t="s">
        <v>398</v>
      </c>
      <c r="B42" s="54">
        <v>0.75</v>
      </c>
      <c r="C42" s="54">
        <v>1.0</v>
      </c>
      <c r="D42" s="54">
        <v>0.5</v>
      </c>
      <c r="E42" s="67">
        <v>1.0</v>
      </c>
      <c r="F42" s="67">
        <v>0.0</v>
      </c>
      <c r="G42" s="67">
        <v>1.0</v>
      </c>
    </row>
    <row r="43">
      <c r="A43" s="52" t="s">
        <v>399</v>
      </c>
      <c r="B43" s="54">
        <v>0.75</v>
      </c>
      <c r="C43" s="54">
        <v>1.0</v>
      </c>
      <c r="D43" s="54">
        <v>0.5</v>
      </c>
      <c r="E43" s="67">
        <v>0.1</v>
      </c>
      <c r="F43" s="67">
        <v>0.0</v>
      </c>
      <c r="G43" s="67">
        <v>0.33</v>
      </c>
    </row>
    <row r="44">
      <c r="A44" s="52" t="s">
        <v>400</v>
      </c>
      <c r="B44" s="54">
        <v>1.0</v>
      </c>
      <c r="C44" s="54">
        <v>1.0</v>
      </c>
      <c r="D44" s="54">
        <v>0.5</v>
      </c>
      <c r="E44" s="67">
        <v>1.0</v>
      </c>
      <c r="F44" s="67">
        <v>0.0</v>
      </c>
      <c r="G44" s="67">
        <v>0.66</v>
      </c>
    </row>
    <row r="45">
      <c r="A45" s="52" t="s">
        <v>401</v>
      </c>
      <c r="B45" s="54">
        <v>1.0</v>
      </c>
      <c r="C45" s="54">
        <v>1.5</v>
      </c>
      <c r="D45" s="54">
        <v>3.0</v>
      </c>
      <c r="E45" s="67">
        <v>0.1</v>
      </c>
      <c r="F45" s="67">
        <v>0.0</v>
      </c>
      <c r="G45" s="67">
        <v>0.0</v>
      </c>
    </row>
    <row r="48">
      <c r="A48" s="72" t="s">
        <v>402</v>
      </c>
      <c r="B48" s="73" t="s">
        <v>403</v>
      </c>
    </row>
    <row r="49">
      <c r="A49" s="72" t="s">
        <v>404</v>
      </c>
      <c r="B49" s="73" t="s">
        <v>405</v>
      </c>
    </row>
    <row r="50">
      <c r="A50" s="72" t="s">
        <v>406</v>
      </c>
      <c r="B50" s="73" t="s">
        <v>407</v>
      </c>
    </row>
    <row r="51">
      <c r="A51" s="72" t="s">
        <v>408</v>
      </c>
      <c r="B51" s="73" t="s">
        <v>409</v>
      </c>
    </row>
    <row r="52">
      <c r="A52" s="72" t="s">
        <v>410</v>
      </c>
      <c r="B52" s="73" t="s">
        <v>411</v>
      </c>
    </row>
  </sheetData>
  <drawing r:id="rId1"/>
  <tableParts count="1">
    <tablePart r:id="rId3"/>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25.63"/>
  </cols>
  <sheetData>
    <row r="1">
      <c r="A1" s="47" t="s">
        <v>37</v>
      </c>
      <c r="B1" s="47" t="s">
        <v>6</v>
      </c>
      <c r="C1" s="47" t="s">
        <v>412</v>
      </c>
      <c r="D1" s="47" t="s">
        <v>413</v>
      </c>
      <c r="E1" s="47" t="s">
        <v>15</v>
      </c>
      <c r="F1" s="47" t="s">
        <v>414</v>
      </c>
      <c r="G1" s="47" t="s">
        <v>415</v>
      </c>
      <c r="H1" s="47" t="s">
        <v>416</v>
      </c>
      <c r="I1" s="48" t="s">
        <v>417</v>
      </c>
      <c r="J1" s="16" t="s">
        <v>418</v>
      </c>
    </row>
    <row r="2">
      <c r="A2" s="11" t="s">
        <v>419</v>
      </c>
      <c r="B2" s="11" t="s">
        <v>420</v>
      </c>
      <c r="C2" s="11">
        <v>460.0</v>
      </c>
      <c r="D2" s="11">
        <v>4.0</v>
      </c>
      <c r="E2" s="11" t="s">
        <v>421</v>
      </c>
      <c r="F2" s="11" t="s">
        <v>422</v>
      </c>
      <c r="G2" s="11" t="s">
        <v>423</v>
      </c>
      <c r="H2" s="11" t="s">
        <v>424</v>
      </c>
      <c r="I2" s="11" t="s">
        <v>425</v>
      </c>
      <c r="J2" s="11" t="s">
        <v>426</v>
      </c>
    </row>
    <row r="3">
      <c r="A3" s="11" t="s">
        <v>427</v>
      </c>
      <c r="B3" s="11" t="s">
        <v>428</v>
      </c>
      <c r="C3" s="11">
        <v>128.0</v>
      </c>
      <c r="E3" s="11" t="s">
        <v>429</v>
      </c>
      <c r="F3" s="11" t="s">
        <v>430</v>
      </c>
      <c r="G3" s="11" t="s">
        <v>431</v>
      </c>
      <c r="H3" s="11" t="s">
        <v>432</v>
      </c>
      <c r="J3" s="11" t="s">
        <v>433</v>
      </c>
    </row>
    <row r="4">
      <c r="A4" s="11" t="s">
        <v>434</v>
      </c>
      <c r="B4" s="11" t="s">
        <v>435</v>
      </c>
      <c r="C4" s="11">
        <v>315.0</v>
      </c>
      <c r="D4" s="11">
        <v>4.0</v>
      </c>
      <c r="E4" s="11" t="s">
        <v>436</v>
      </c>
      <c r="H4" s="11" t="s">
        <v>424</v>
      </c>
      <c r="I4" s="11" t="s">
        <v>437</v>
      </c>
      <c r="J4" s="11" t="s">
        <v>438</v>
      </c>
    </row>
    <row r="5">
      <c r="A5" s="11" t="s">
        <v>439</v>
      </c>
      <c r="B5" s="11" t="s">
        <v>440</v>
      </c>
      <c r="C5" s="11">
        <v>80.0</v>
      </c>
      <c r="D5" s="11">
        <v>1.0</v>
      </c>
      <c r="E5" s="11" t="s">
        <v>441</v>
      </c>
      <c r="F5" s="11" t="s">
        <v>442</v>
      </c>
      <c r="G5" s="11" t="s">
        <v>423</v>
      </c>
      <c r="H5" s="11" t="s">
        <v>424</v>
      </c>
      <c r="I5" s="11" t="s">
        <v>443</v>
      </c>
    </row>
    <row r="6">
      <c r="A6" s="11" t="s">
        <v>444</v>
      </c>
      <c r="B6" s="11" t="s">
        <v>445</v>
      </c>
      <c r="C6" s="11">
        <v>80.0</v>
      </c>
      <c r="D6" s="11">
        <v>1.0</v>
      </c>
      <c r="E6" s="11" t="s">
        <v>446</v>
      </c>
      <c r="F6" s="11" t="s">
        <v>447</v>
      </c>
      <c r="G6" s="11" t="s">
        <v>448</v>
      </c>
      <c r="H6" s="11" t="s">
        <v>432</v>
      </c>
      <c r="J6" s="11" t="s">
        <v>449</v>
      </c>
    </row>
    <row r="7">
      <c r="A7" s="11" t="s">
        <v>450</v>
      </c>
      <c r="B7" s="11" t="s">
        <v>451</v>
      </c>
      <c r="C7" s="11">
        <v>1050.0</v>
      </c>
      <c r="D7" s="11">
        <v>6.0</v>
      </c>
      <c r="E7" s="11" t="s">
        <v>452</v>
      </c>
      <c r="F7" s="11" t="s">
        <v>446</v>
      </c>
      <c r="G7" s="11" t="s">
        <v>453</v>
      </c>
      <c r="H7" s="11" t="s">
        <v>424</v>
      </c>
      <c r="I7" s="11" t="s">
        <v>454</v>
      </c>
      <c r="J7" s="11" t="s">
        <v>455</v>
      </c>
    </row>
    <row r="8">
      <c r="A8" s="11" t="s">
        <v>456</v>
      </c>
      <c r="B8" s="11" t="s">
        <v>457</v>
      </c>
      <c r="C8" s="11">
        <v>200.0</v>
      </c>
      <c r="D8" s="11">
        <v>2.0</v>
      </c>
      <c r="E8" s="11" t="s">
        <v>458</v>
      </c>
      <c r="F8" s="11" t="s">
        <v>459</v>
      </c>
      <c r="G8" s="11" t="s">
        <v>423</v>
      </c>
      <c r="H8" s="11" t="s">
        <v>460</v>
      </c>
      <c r="I8" s="11" t="s">
        <v>461</v>
      </c>
    </row>
    <row r="9">
      <c r="A9" s="11" t="s">
        <v>462</v>
      </c>
      <c r="B9" s="11" t="s">
        <v>463</v>
      </c>
      <c r="C9" s="11">
        <v>200.0</v>
      </c>
      <c r="D9" s="11">
        <v>2.0</v>
      </c>
      <c r="E9" s="11" t="s">
        <v>429</v>
      </c>
      <c r="F9" s="11" t="s">
        <v>430</v>
      </c>
      <c r="G9" s="11" t="s">
        <v>431</v>
      </c>
      <c r="H9" s="11" t="s">
        <v>432</v>
      </c>
      <c r="J9" s="11" t="s">
        <v>464</v>
      </c>
    </row>
    <row r="10">
      <c r="A10" s="11" t="s">
        <v>465</v>
      </c>
      <c r="B10" s="11" t="s">
        <v>466</v>
      </c>
      <c r="C10" s="11">
        <v>100.0</v>
      </c>
      <c r="D10" s="11">
        <v>1.0</v>
      </c>
      <c r="I10" s="11" t="s">
        <v>467</v>
      </c>
      <c r="J10" s="11" t="s">
        <v>468</v>
      </c>
    </row>
    <row r="11">
      <c r="A11" s="11" t="s">
        <v>469</v>
      </c>
      <c r="B11" s="11" t="s">
        <v>470</v>
      </c>
      <c r="C11" s="11">
        <v>200.0</v>
      </c>
      <c r="D11" s="11">
        <v>2.0</v>
      </c>
      <c r="E11" s="11" t="s">
        <v>471</v>
      </c>
      <c r="H11" s="11" t="s">
        <v>424</v>
      </c>
      <c r="J11" s="11" t="s">
        <v>472</v>
      </c>
    </row>
    <row r="12">
      <c r="A12" s="11" t="s">
        <v>473</v>
      </c>
      <c r="B12" s="11" t="s">
        <v>474</v>
      </c>
      <c r="C12" s="11">
        <v>3220.0</v>
      </c>
      <c r="D12" s="11">
        <v>8.0</v>
      </c>
      <c r="E12" s="11" t="s">
        <v>475</v>
      </c>
      <c r="F12" s="11" t="s">
        <v>476</v>
      </c>
      <c r="G12" s="11" t="s">
        <v>423</v>
      </c>
      <c r="H12" s="11" t="s">
        <v>424</v>
      </c>
      <c r="J12" s="11" t="s">
        <v>477</v>
      </c>
    </row>
    <row r="13">
      <c r="A13" s="11" t="s">
        <v>478</v>
      </c>
      <c r="B13" s="11" t="s">
        <v>479</v>
      </c>
      <c r="C13" s="11">
        <v>200.0</v>
      </c>
      <c r="D13" s="11">
        <v>3.0</v>
      </c>
      <c r="E13" s="11" t="s">
        <v>480</v>
      </c>
      <c r="J13" s="11" t="s">
        <v>481</v>
      </c>
    </row>
    <row r="14">
      <c r="A14" s="11" t="s">
        <v>482</v>
      </c>
      <c r="B14" s="11" t="s">
        <v>483</v>
      </c>
      <c r="C14" s="11">
        <v>600.0</v>
      </c>
      <c r="D14" s="11">
        <v>8.0</v>
      </c>
      <c r="E14" s="11" t="s">
        <v>476</v>
      </c>
      <c r="J14" s="11" t="s">
        <v>484</v>
      </c>
    </row>
    <row r="15">
      <c r="A15" s="11" t="s">
        <v>485</v>
      </c>
      <c r="B15" s="11" t="s">
        <v>486</v>
      </c>
      <c r="C15" s="11">
        <v>276.0</v>
      </c>
      <c r="D15" s="11">
        <v>4.0</v>
      </c>
      <c r="E15" s="11" t="s">
        <v>436</v>
      </c>
      <c r="F15" s="11" t="s">
        <v>487</v>
      </c>
      <c r="G15" s="11" t="s">
        <v>423</v>
      </c>
      <c r="H15" s="11" t="s">
        <v>424</v>
      </c>
      <c r="I15" s="11" t="s">
        <v>454</v>
      </c>
      <c r="J15" s="11" t="s">
        <v>488</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25.5"/>
  </cols>
  <sheetData>
    <row r="1">
      <c r="A1" s="47" t="s">
        <v>37</v>
      </c>
      <c r="B1" s="47" t="s">
        <v>6</v>
      </c>
    </row>
    <row r="2">
      <c r="A2" s="11" t="s">
        <v>489</v>
      </c>
      <c r="B2" s="11" t="s">
        <v>490</v>
      </c>
    </row>
    <row r="3">
      <c r="A3" s="11" t="s">
        <v>491</v>
      </c>
      <c r="B3" s="11" t="s">
        <v>492</v>
      </c>
    </row>
    <row r="4">
      <c r="A4" s="11" t="s">
        <v>493</v>
      </c>
      <c r="B4" s="11" t="s">
        <v>494</v>
      </c>
    </row>
    <row r="5">
      <c r="A5" s="11" t="s">
        <v>495</v>
      </c>
      <c r="B5" s="11" t="s">
        <v>496</v>
      </c>
    </row>
    <row r="6">
      <c r="A6" s="11" t="s">
        <v>497</v>
      </c>
      <c r="B6" s="11" t="s">
        <v>498</v>
      </c>
    </row>
    <row r="7">
      <c r="A7" s="11" t="s">
        <v>499</v>
      </c>
      <c r="B7" s="11" t="s">
        <v>500</v>
      </c>
    </row>
    <row r="8">
      <c r="A8" s="11" t="s">
        <v>501</v>
      </c>
      <c r="B8" s="11" t="s">
        <v>502</v>
      </c>
    </row>
    <row r="9">
      <c r="A9" s="11" t="s">
        <v>503</v>
      </c>
      <c r="B9" s="11" t="s">
        <v>504</v>
      </c>
    </row>
    <row r="10">
      <c r="A10" s="11" t="s">
        <v>505</v>
      </c>
      <c r="B10" s="11" t="s">
        <v>506</v>
      </c>
    </row>
    <row r="11">
      <c r="A11" s="11" t="s">
        <v>507</v>
      </c>
      <c r="B11" s="11" t="s">
        <v>508</v>
      </c>
    </row>
    <row r="12">
      <c r="A12" s="11" t="s">
        <v>509</v>
      </c>
      <c r="B12" s="11" t="s">
        <v>510</v>
      </c>
    </row>
    <row r="13">
      <c r="A13" s="11" t="s">
        <v>511</v>
      </c>
      <c r="B13" s="11" t="s">
        <v>512</v>
      </c>
    </row>
    <row r="14">
      <c r="A14" s="11" t="s">
        <v>513</v>
      </c>
      <c r="B14" s="11" t="s">
        <v>514</v>
      </c>
    </row>
    <row r="15">
      <c r="A15" s="11" t="s">
        <v>515</v>
      </c>
      <c r="B15" s="11" t="s">
        <v>516</v>
      </c>
    </row>
    <row r="16">
      <c r="A16" s="11" t="s">
        <v>517</v>
      </c>
      <c r="B16" s="11" t="s">
        <v>518</v>
      </c>
    </row>
    <row r="17">
      <c r="A17" s="11" t="s">
        <v>519</v>
      </c>
      <c r="B17" s="11" t="s">
        <v>520</v>
      </c>
    </row>
    <row r="18">
      <c r="A18" s="11" t="s">
        <v>521</v>
      </c>
      <c r="B18" s="11" t="s">
        <v>522</v>
      </c>
    </row>
    <row r="19">
      <c r="A19" s="11" t="s">
        <v>523</v>
      </c>
      <c r="B19" s="11" t="s">
        <v>524</v>
      </c>
    </row>
    <row r="20">
      <c r="A20" s="11" t="s">
        <v>525</v>
      </c>
      <c r="B20" s="11" t="s">
        <v>526</v>
      </c>
    </row>
    <row r="21">
      <c r="A21" s="11" t="s">
        <v>527</v>
      </c>
      <c r="B21" s="11" t="s">
        <v>528</v>
      </c>
    </row>
    <row r="22">
      <c r="A22" s="11" t="s">
        <v>529</v>
      </c>
      <c r="B22" s="11" t="s">
        <v>530</v>
      </c>
    </row>
    <row r="23">
      <c r="A23" s="11" t="s">
        <v>531</v>
      </c>
      <c r="B23" s="11" t="s">
        <v>532</v>
      </c>
    </row>
    <row r="24">
      <c r="A24" s="11" t="s">
        <v>533</v>
      </c>
      <c r="B24" s="11" t="s">
        <v>534</v>
      </c>
    </row>
    <row r="25">
      <c r="A25" s="11" t="s">
        <v>535</v>
      </c>
      <c r="B25" s="11" t="s">
        <v>536</v>
      </c>
    </row>
    <row r="26">
      <c r="A26" s="11" t="s">
        <v>537</v>
      </c>
      <c r="B26" s="11" t="s">
        <v>538</v>
      </c>
    </row>
    <row r="27">
      <c r="A27" s="11" t="s">
        <v>539</v>
      </c>
      <c r="B27" s="11" t="s">
        <v>540</v>
      </c>
    </row>
    <row r="28">
      <c r="A28" s="11" t="s">
        <v>541</v>
      </c>
      <c r="B28" s="11" t="s">
        <v>542</v>
      </c>
    </row>
    <row r="29">
      <c r="A29" s="11" t="s">
        <v>543</v>
      </c>
      <c r="B29" s="11" t="s">
        <v>544</v>
      </c>
    </row>
    <row r="30">
      <c r="A30" s="11" t="s">
        <v>545</v>
      </c>
      <c r="B30" s="11" t="s">
        <v>546</v>
      </c>
    </row>
    <row r="31">
      <c r="A31" s="11" t="s">
        <v>547</v>
      </c>
      <c r="B31" s="11" t="s">
        <v>548</v>
      </c>
    </row>
    <row r="32">
      <c r="A32" s="11" t="s">
        <v>549</v>
      </c>
      <c r="B32" s="11" t="s">
        <v>550</v>
      </c>
    </row>
    <row r="33">
      <c r="A33" s="11" t="s">
        <v>551</v>
      </c>
      <c r="B33" s="11" t="s">
        <v>552</v>
      </c>
    </row>
    <row r="34">
      <c r="A34" s="11" t="s">
        <v>553</v>
      </c>
      <c r="B34" s="11" t="s">
        <v>554</v>
      </c>
    </row>
    <row r="35">
      <c r="A35" s="11" t="s">
        <v>555</v>
      </c>
      <c r="B35" s="11" t="s">
        <v>556</v>
      </c>
    </row>
    <row r="36">
      <c r="A36" s="11" t="s">
        <v>557</v>
      </c>
      <c r="B36" s="11" t="s">
        <v>558</v>
      </c>
    </row>
    <row r="37">
      <c r="A37" s="11" t="s">
        <v>559</v>
      </c>
      <c r="B37" s="11" t="s">
        <v>560</v>
      </c>
    </row>
    <row r="38">
      <c r="A38" s="11" t="s">
        <v>561</v>
      </c>
      <c r="B38" s="11" t="s">
        <v>562</v>
      </c>
    </row>
    <row r="39">
      <c r="A39" s="11" t="s">
        <v>563</v>
      </c>
      <c r="B39" s="11" t="s">
        <v>564</v>
      </c>
    </row>
    <row r="40">
      <c r="A40" s="11" t="s">
        <v>565</v>
      </c>
      <c r="B40" s="11" t="s">
        <v>566</v>
      </c>
    </row>
    <row r="41">
      <c r="A41" s="11" t="s">
        <v>567</v>
      </c>
      <c r="B41" s="11" t="s">
        <v>568</v>
      </c>
    </row>
    <row r="42">
      <c r="A42" s="11" t="s">
        <v>569</v>
      </c>
      <c r="B42" s="11" t="s">
        <v>570</v>
      </c>
    </row>
    <row r="43">
      <c r="A43" s="11" t="s">
        <v>571</v>
      </c>
      <c r="B43" s="11" t="s">
        <v>572</v>
      </c>
    </row>
    <row r="44">
      <c r="A44" s="11" t="s">
        <v>573</v>
      </c>
      <c r="B44" s="11" t="s">
        <v>574</v>
      </c>
    </row>
    <row r="45">
      <c r="A45" s="11" t="s">
        <v>575</v>
      </c>
      <c r="B45" s="11" t="s">
        <v>576</v>
      </c>
    </row>
    <row r="46">
      <c r="A46" s="11" t="s">
        <v>577</v>
      </c>
      <c r="B46" s="11" t="s">
        <v>578</v>
      </c>
    </row>
    <row r="47">
      <c r="A47" s="11" t="s">
        <v>579</v>
      </c>
      <c r="B47" s="11" t="s">
        <v>580</v>
      </c>
    </row>
    <row r="48">
      <c r="A48" s="11" t="s">
        <v>581</v>
      </c>
      <c r="B48" s="11" t="s">
        <v>582</v>
      </c>
    </row>
    <row r="49">
      <c r="A49" s="11" t="s">
        <v>583</v>
      </c>
      <c r="B49" s="11" t="s">
        <v>584</v>
      </c>
    </row>
    <row r="50">
      <c r="A50" s="11" t="s">
        <v>585</v>
      </c>
      <c r="B50" s="11" t="s">
        <v>586</v>
      </c>
    </row>
    <row r="51">
      <c r="A51" s="11" t="s">
        <v>587</v>
      </c>
      <c r="B51" s="11" t="s">
        <v>588</v>
      </c>
    </row>
    <row r="52">
      <c r="A52" s="11" t="s">
        <v>589</v>
      </c>
      <c r="B52" s="11" t="s">
        <v>590</v>
      </c>
    </row>
    <row r="53">
      <c r="A53" s="11" t="s">
        <v>591</v>
      </c>
      <c r="B53" s="11" t="s">
        <v>592</v>
      </c>
    </row>
    <row r="54">
      <c r="A54" s="11" t="s">
        <v>593</v>
      </c>
      <c r="B54" s="11" t="s">
        <v>594</v>
      </c>
    </row>
    <row r="55">
      <c r="A55" s="11" t="s">
        <v>595</v>
      </c>
      <c r="B55" s="11" t="s">
        <v>596</v>
      </c>
    </row>
    <row r="56">
      <c r="A56" s="11" t="s">
        <v>597</v>
      </c>
      <c r="B56" s="11" t="s">
        <v>598</v>
      </c>
    </row>
    <row r="57">
      <c r="A57" s="11" t="s">
        <v>599</v>
      </c>
      <c r="B57" s="11" t="s">
        <v>600</v>
      </c>
    </row>
    <row r="58">
      <c r="A58" s="11" t="s">
        <v>601</v>
      </c>
      <c r="B58" s="11" t="s">
        <v>602</v>
      </c>
    </row>
    <row r="59">
      <c r="A59" s="11" t="s">
        <v>603</v>
      </c>
      <c r="B59" s="11" t="s">
        <v>604</v>
      </c>
    </row>
    <row r="60">
      <c r="A60" s="11" t="s">
        <v>605</v>
      </c>
      <c r="B60" s="11" t="s">
        <v>606</v>
      </c>
    </row>
    <row r="61">
      <c r="A61" s="11" t="s">
        <v>607</v>
      </c>
      <c r="B61" s="11" t="s">
        <v>608</v>
      </c>
    </row>
    <row r="62">
      <c r="A62" s="11" t="s">
        <v>609</v>
      </c>
      <c r="B62" s="11" t="s">
        <v>610</v>
      </c>
    </row>
    <row r="63">
      <c r="A63" s="11" t="s">
        <v>611</v>
      </c>
      <c r="B63" s="11" t="s">
        <v>612</v>
      </c>
    </row>
    <row r="64">
      <c r="A64" s="11" t="s">
        <v>613</v>
      </c>
      <c r="B64" s="11" t="s">
        <v>614</v>
      </c>
    </row>
    <row r="65">
      <c r="A65" s="11" t="s">
        <v>615</v>
      </c>
      <c r="B65" s="11" t="s">
        <v>616</v>
      </c>
    </row>
    <row r="66">
      <c r="A66" s="11" t="s">
        <v>617</v>
      </c>
      <c r="B66" s="11" t="s">
        <v>618</v>
      </c>
    </row>
    <row r="67">
      <c r="A67" s="11" t="s">
        <v>619</v>
      </c>
      <c r="B67" s="11" t="s">
        <v>620</v>
      </c>
    </row>
    <row r="68">
      <c r="A68" s="11" t="s">
        <v>621</v>
      </c>
      <c r="B68" s="11" t="s">
        <v>622</v>
      </c>
    </row>
    <row r="69">
      <c r="A69" s="11" t="s">
        <v>623</v>
      </c>
      <c r="B69" s="11" t="s">
        <v>624</v>
      </c>
    </row>
    <row r="70">
      <c r="A70" s="11" t="s">
        <v>625</v>
      </c>
      <c r="B70" s="11" t="s">
        <v>626</v>
      </c>
    </row>
    <row r="71">
      <c r="A71" s="11" t="s">
        <v>627</v>
      </c>
      <c r="B71" s="11" t="s">
        <v>628</v>
      </c>
    </row>
    <row r="72">
      <c r="A72" s="11" t="s">
        <v>629</v>
      </c>
      <c r="B72" s="11" t="s">
        <v>630</v>
      </c>
    </row>
    <row r="73">
      <c r="A73" s="11" t="s">
        <v>631</v>
      </c>
      <c r="B73" s="11" t="s">
        <v>632</v>
      </c>
    </row>
    <row r="74">
      <c r="A74" s="11" t="s">
        <v>633</v>
      </c>
      <c r="B74" s="11" t="s">
        <v>634</v>
      </c>
    </row>
    <row r="75">
      <c r="A75" s="11" t="s">
        <v>635</v>
      </c>
      <c r="B75" s="11" t="s">
        <v>636</v>
      </c>
    </row>
    <row r="76">
      <c r="A76" s="11" t="s">
        <v>637</v>
      </c>
      <c r="B76" s="11" t="s">
        <v>638</v>
      </c>
    </row>
    <row r="77">
      <c r="A77" s="11" t="s">
        <v>639</v>
      </c>
      <c r="B77" s="11" t="s">
        <v>640</v>
      </c>
    </row>
    <row r="78">
      <c r="A78" s="11" t="s">
        <v>641</v>
      </c>
      <c r="B78" s="11" t="s">
        <v>642</v>
      </c>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25.5"/>
    <col customWidth="1" min="3" max="3" width="11.5"/>
    <col customWidth="1" min="5" max="5" width="13.75"/>
  </cols>
  <sheetData>
    <row r="1">
      <c r="A1" s="47" t="s">
        <v>37</v>
      </c>
      <c r="B1" s="47" t="s">
        <v>6</v>
      </c>
      <c r="C1" s="47" t="s">
        <v>412</v>
      </c>
      <c r="D1" s="47" t="s">
        <v>643</v>
      </c>
      <c r="E1" s="47" t="s">
        <v>417</v>
      </c>
      <c r="F1" s="47" t="s">
        <v>644</v>
      </c>
      <c r="G1" s="47" t="s">
        <v>645</v>
      </c>
      <c r="H1" s="74" t="s">
        <v>646</v>
      </c>
    </row>
    <row r="2">
      <c r="A2" s="11" t="s">
        <v>647</v>
      </c>
      <c r="B2" s="11" t="s">
        <v>648</v>
      </c>
      <c r="C2" s="11">
        <v>40.0</v>
      </c>
      <c r="D2" s="11" t="s">
        <v>649</v>
      </c>
      <c r="E2" s="11">
        <v>25.0</v>
      </c>
      <c r="F2" s="11">
        <v>2.0</v>
      </c>
      <c r="H2" s="11" t="s">
        <v>650</v>
      </c>
    </row>
    <row r="3">
      <c r="A3" s="11" t="s">
        <v>651</v>
      </c>
      <c r="B3" s="11" t="s">
        <v>652</v>
      </c>
      <c r="C3" s="11">
        <v>425.0</v>
      </c>
      <c r="D3" s="11" t="s">
        <v>649</v>
      </c>
      <c r="E3" s="11">
        <v>45.0</v>
      </c>
      <c r="H3" s="11" t="s">
        <v>653</v>
      </c>
    </row>
    <row r="4">
      <c r="A4" s="11" t="s">
        <v>654</v>
      </c>
      <c r="B4" s="11" t="s">
        <v>655</v>
      </c>
      <c r="C4" s="11">
        <v>35.0</v>
      </c>
      <c r="D4" s="11" t="s">
        <v>649</v>
      </c>
      <c r="E4" s="11">
        <v>20.0</v>
      </c>
      <c r="F4" s="11">
        <v>3.0</v>
      </c>
      <c r="H4" s="11" t="s">
        <v>650</v>
      </c>
    </row>
    <row r="5">
      <c r="A5" s="11" t="s">
        <v>656</v>
      </c>
      <c r="B5" s="11" t="s">
        <v>657</v>
      </c>
      <c r="C5" s="11">
        <v>10.0</v>
      </c>
      <c r="D5" s="11" t="s">
        <v>658</v>
      </c>
      <c r="E5" s="11">
        <v>0.0</v>
      </c>
      <c r="F5" s="11">
        <v>1.0</v>
      </c>
    </row>
    <row r="6">
      <c r="A6" s="11" t="s">
        <v>659</v>
      </c>
      <c r="B6" s="11" t="s">
        <v>660</v>
      </c>
      <c r="C6" s="11">
        <v>35.0</v>
      </c>
      <c r="D6" s="11" t="s">
        <v>658</v>
      </c>
      <c r="E6" s="11">
        <v>0.0</v>
      </c>
      <c r="F6" s="11">
        <v>2.0</v>
      </c>
    </row>
    <row r="7">
      <c r="A7" s="11" t="s">
        <v>661</v>
      </c>
      <c r="B7" s="11" t="s">
        <v>662</v>
      </c>
      <c r="C7" s="11">
        <v>35.0</v>
      </c>
      <c r="D7" s="11" t="s">
        <v>649</v>
      </c>
      <c r="E7" s="11">
        <v>35.0</v>
      </c>
      <c r="F7" s="11">
        <v>3.0</v>
      </c>
      <c r="H7" s="11" t="s">
        <v>650</v>
      </c>
    </row>
    <row r="8">
      <c r="A8" s="11" t="s">
        <v>663</v>
      </c>
      <c r="B8" s="11" t="s">
        <v>664</v>
      </c>
      <c r="C8" s="11">
        <v>80.0</v>
      </c>
      <c r="D8" s="11" t="s">
        <v>658</v>
      </c>
      <c r="E8" s="11">
        <v>0.0</v>
      </c>
    </row>
    <row r="9">
      <c r="A9" s="11" t="s">
        <v>665</v>
      </c>
      <c r="B9" s="11" t="s">
        <v>666</v>
      </c>
      <c r="C9" s="11">
        <v>30.0</v>
      </c>
      <c r="D9" s="11" t="s">
        <v>658</v>
      </c>
      <c r="E9" s="11">
        <v>0.0</v>
      </c>
    </row>
    <row r="10">
      <c r="A10" s="11" t="s">
        <v>667</v>
      </c>
      <c r="B10" s="11" t="s">
        <v>668</v>
      </c>
      <c r="C10" s="11">
        <v>3000.0</v>
      </c>
      <c r="D10" s="11" t="s">
        <v>649</v>
      </c>
      <c r="E10" s="11" t="s">
        <v>669</v>
      </c>
      <c r="F10" s="11">
        <v>14.0</v>
      </c>
      <c r="G10" s="11" t="s">
        <v>670</v>
      </c>
      <c r="H10" s="11" t="s">
        <v>671</v>
      </c>
    </row>
    <row r="11">
      <c r="A11" s="11" t="s">
        <v>672</v>
      </c>
      <c r="B11" s="11" t="s">
        <v>673</v>
      </c>
      <c r="C11" s="11">
        <v>10.0</v>
      </c>
      <c r="D11" s="11" t="s">
        <v>658</v>
      </c>
      <c r="E11" s="11">
        <v>0.0</v>
      </c>
      <c r="F11" s="11">
        <v>1.0</v>
      </c>
    </row>
    <row r="12">
      <c r="A12" s="11" t="s">
        <v>674</v>
      </c>
      <c r="B12" s="11" t="s">
        <v>675</v>
      </c>
      <c r="C12" s="11">
        <v>475.0</v>
      </c>
      <c r="D12" s="11" t="s">
        <v>649</v>
      </c>
      <c r="E12" s="11">
        <v>35.0</v>
      </c>
      <c r="G12" s="11" t="s">
        <v>676</v>
      </c>
      <c r="H12" s="11" t="s">
        <v>671</v>
      </c>
    </row>
    <row r="13">
      <c r="A13" s="11" t="s">
        <v>677</v>
      </c>
      <c r="B13" s="11" t="s">
        <v>678</v>
      </c>
      <c r="C13" s="11">
        <v>275.0</v>
      </c>
      <c r="D13" s="11" t="s">
        <v>649</v>
      </c>
      <c r="E13" s="11">
        <v>22.0</v>
      </c>
      <c r="G13" s="11" t="s">
        <v>676</v>
      </c>
      <c r="H13" s="11" t="s">
        <v>671</v>
      </c>
    </row>
    <row r="14">
      <c r="A14" s="11" t="s">
        <v>679</v>
      </c>
      <c r="B14" s="11" t="s">
        <v>680</v>
      </c>
      <c r="C14" s="11">
        <v>200.0</v>
      </c>
      <c r="D14" s="11" t="s">
        <v>649</v>
      </c>
      <c r="E14" s="11" t="s">
        <v>681</v>
      </c>
      <c r="G14" s="11" t="s">
        <v>682</v>
      </c>
      <c r="H14" s="11" t="s">
        <v>671</v>
      </c>
    </row>
    <row r="15">
      <c r="A15" s="11" t="s">
        <v>683</v>
      </c>
      <c r="B15" s="11" t="s">
        <v>684</v>
      </c>
      <c r="C15" s="11">
        <v>1000.0</v>
      </c>
      <c r="D15" s="11" t="s">
        <v>649</v>
      </c>
      <c r="E15" s="11">
        <v>60.0</v>
      </c>
      <c r="F15" s="11">
        <v>12.0</v>
      </c>
      <c r="G15" s="11" t="s">
        <v>685</v>
      </c>
      <c r="H15" s="11" t="s">
        <v>650</v>
      </c>
    </row>
    <row r="16">
      <c r="A16" s="11" t="s">
        <v>686</v>
      </c>
      <c r="B16" s="11" t="s">
        <v>31</v>
      </c>
      <c r="C16" s="11">
        <v>225.0</v>
      </c>
      <c r="D16" s="11" t="s">
        <v>649</v>
      </c>
      <c r="E16" s="11">
        <v>30.0</v>
      </c>
      <c r="F16" s="11">
        <v>4.0</v>
      </c>
      <c r="H16" s="11" t="s">
        <v>650</v>
      </c>
    </row>
    <row r="17">
      <c r="A17" s="11" t="s">
        <v>687</v>
      </c>
      <c r="B17" s="11" t="s">
        <v>688</v>
      </c>
      <c r="C17" s="11">
        <v>375.0</v>
      </c>
      <c r="D17" s="11" t="s">
        <v>649</v>
      </c>
      <c r="E17" s="11">
        <v>30.0</v>
      </c>
      <c r="F17" s="11">
        <v>8.0</v>
      </c>
      <c r="H17" s="11" t="s">
        <v>650</v>
      </c>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8" max="8" width="18.88"/>
  </cols>
  <sheetData>
    <row r="1">
      <c r="A1" s="47" t="s">
        <v>37</v>
      </c>
      <c r="B1" s="47" t="s">
        <v>689</v>
      </c>
      <c r="D1" s="47" t="s">
        <v>37</v>
      </c>
      <c r="E1" s="47" t="s">
        <v>690</v>
      </c>
      <c r="G1" s="47" t="s">
        <v>37</v>
      </c>
      <c r="H1" s="47" t="s">
        <v>6</v>
      </c>
      <c r="I1" s="47" t="s">
        <v>690</v>
      </c>
    </row>
    <row r="2">
      <c r="A2" s="11" t="s">
        <v>691</v>
      </c>
      <c r="B2" s="75">
        <v>0.01</v>
      </c>
      <c r="D2" s="11" t="s">
        <v>692</v>
      </c>
      <c r="E2" s="11">
        <v>1.0</v>
      </c>
      <c r="G2" s="11" t="s">
        <v>693</v>
      </c>
      <c r="H2" s="72" t="s">
        <v>402</v>
      </c>
      <c r="I2" s="73" t="s">
        <v>403</v>
      </c>
    </row>
    <row r="3">
      <c r="A3" s="11" t="s">
        <v>694</v>
      </c>
      <c r="B3" s="75">
        <v>0.02</v>
      </c>
      <c r="D3" s="11" t="s">
        <v>695</v>
      </c>
      <c r="E3" s="11">
        <v>2.0</v>
      </c>
      <c r="G3" s="11" t="s">
        <v>696</v>
      </c>
      <c r="H3" s="72" t="s">
        <v>404</v>
      </c>
      <c r="I3" s="73" t="s">
        <v>405</v>
      </c>
    </row>
    <row r="4">
      <c r="A4" s="11" t="s">
        <v>697</v>
      </c>
      <c r="B4" s="75">
        <v>0.03</v>
      </c>
      <c r="D4" s="11" t="s">
        <v>698</v>
      </c>
      <c r="E4" s="11">
        <v>3.0</v>
      </c>
      <c r="G4" s="11" t="s">
        <v>699</v>
      </c>
      <c r="H4" s="72" t="s">
        <v>406</v>
      </c>
      <c r="I4" s="73" t="s">
        <v>407</v>
      </c>
    </row>
    <row r="5">
      <c r="A5" s="11" t="s">
        <v>700</v>
      </c>
      <c r="B5" s="75">
        <v>0.04</v>
      </c>
      <c r="D5" s="11" t="s">
        <v>701</v>
      </c>
      <c r="E5" s="11">
        <v>4.0</v>
      </c>
      <c r="G5" s="11" t="s">
        <v>702</v>
      </c>
      <c r="H5" s="72" t="s">
        <v>408</v>
      </c>
      <c r="I5" s="73" t="s">
        <v>409</v>
      </c>
    </row>
    <row r="6">
      <c r="A6" s="11" t="s">
        <v>703</v>
      </c>
      <c r="B6" s="75">
        <v>0.05</v>
      </c>
      <c r="D6" s="11" t="s">
        <v>704</v>
      </c>
      <c r="E6" s="11">
        <v>5.0</v>
      </c>
      <c r="G6" s="11" t="s">
        <v>705</v>
      </c>
      <c r="H6" s="72" t="s">
        <v>410</v>
      </c>
      <c r="I6" s="73" t="s">
        <v>411</v>
      </c>
    </row>
    <row r="7">
      <c r="A7" s="11" t="s">
        <v>706</v>
      </c>
      <c r="B7" s="75">
        <v>0.06</v>
      </c>
      <c r="D7" s="11" t="s">
        <v>707</v>
      </c>
      <c r="E7" s="11">
        <v>6.0</v>
      </c>
    </row>
    <row r="8">
      <c r="A8" s="11" t="s">
        <v>708</v>
      </c>
      <c r="B8" s="75">
        <v>0.07</v>
      </c>
      <c r="D8" s="11" t="s">
        <v>709</v>
      </c>
      <c r="E8" s="11">
        <v>7.0</v>
      </c>
    </row>
    <row r="9">
      <c r="A9" s="11" t="s">
        <v>710</v>
      </c>
      <c r="B9" s="75">
        <v>0.08</v>
      </c>
      <c r="D9" s="11" t="s">
        <v>711</v>
      </c>
      <c r="E9" s="11">
        <v>8.0</v>
      </c>
    </row>
    <row r="10">
      <c r="A10" s="11" t="s">
        <v>712</v>
      </c>
      <c r="B10" s="75">
        <v>0.09</v>
      </c>
      <c r="D10" s="11" t="s">
        <v>713</v>
      </c>
      <c r="E10" s="11">
        <v>9.0</v>
      </c>
    </row>
    <row r="11">
      <c r="A11" s="11" t="s">
        <v>714</v>
      </c>
      <c r="B11" s="75">
        <v>0.1</v>
      </c>
      <c r="D11" s="11" t="s">
        <v>715</v>
      </c>
      <c r="E11" s="11">
        <v>10.0</v>
      </c>
    </row>
    <row r="12">
      <c r="A12" s="11" t="s">
        <v>716</v>
      </c>
      <c r="B12" s="75">
        <v>0.11</v>
      </c>
      <c r="D12" s="11" t="s">
        <v>717</v>
      </c>
      <c r="E12" s="11">
        <v>11.0</v>
      </c>
    </row>
    <row r="13">
      <c r="A13" s="11" t="s">
        <v>718</v>
      </c>
      <c r="B13" s="75">
        <v>0.12</v>
      </c>
      <c r="D13" s="11" t="s">
        <v>719</v>
      </c>
      <c r="E13" s="11">
        <v>12.0</v>
      </c>
    </row>
    <row r="14">
      <c r="A14" s="11" t="s">
        <v>720</v>
      </c>
      <c r="B14" s="75">
        <v>0.13</v>
      </c>
      <c r="D14" s="11" t="s">
        <v>721</v>
      </c>
      <c r="E14" s="11">
        <v>13.0</v>
      </c>
    </row>
    <row r="15">
      <c r="A15" s="11" t="s">
        <v>722</v>
      </c>
      <c r="B15" s="75">
        <v>0.14</v>
      </c>
      <c r="D15" s="11" t="s">
        <v>723</v>
      </c>
      <c r="E15" s="11">
        <v>14.0</v>
      </c>
    </row>
    <row r="16">
      <c r="A16" s="11" t="s">
        <v>724</v>
      </c>
      <c r="B16" s="75">
        <v>0.15</v>
      </c>
      <c r="D16" s="11" t="s">
        <v>725</v>
      </c>
      <c r="E16" s="11">
        <v>15.0</v>
      </c>
    </row>
    <row r="17">
      <c r="A17" s="11" t="s">
        <v>726</v>
      </c>
      <c r="B17" s="75">
        <v>0.16</v>
      </c>
      <c r="D17" s="11" t="s">
        <v>727</v>
      </c>
      <c r="E17" s="11">
        <v>16.0</v>
      </c>
    </row>
    <row r="18">
      <c r="A18" s="11" t="s">
        <v>728</v>
      </c>
      <c r="B18" s="75">
        <v>0.17</v>
      </c>
      <c r="D18" s="11" t="s">
        <v>729</v>
      </c>
      <c r="E18" s="11">
        <v>17.0</v>
      </c>
    </row>
    <row r="19">
      <c r="A19" s="11" t="s">
        <v>730</v>
      </c>
      <c r="B19" s="75">
        <v>0.18</v>
      </c>
      <c r="D19" s="11" t="s">
        <v>731</v>
      </c>
      <c r="E19" s="11">
        <v>18.0</v>
      </c>
    </row>
    <row r="20">
      <c r="A20" s="11" t="s">
        <v>732</v>
      </c>
      <c r="B20" s="75">
        <v>0.19</v>
      </c>
      <c r="D20" s="11" t="s">
        <v>733</v>
      </c>
      <c r="E20" s="11">
        <v>19.0</v>
      </c>
    </row>
    <row r="21">
      <c r="A21" s="11" t="s">
        <v>734</v>
      </c>
      <c r="B21" s="75">
        <v>0.2</v>
      </c>
      <c r="D21" s="11" t="s">
        <v>735</v>
      </c>
      <c r="E21" s="11">
        <v>20.0</v>
      </c>
    </row>
    <row r="22">
      <c r="A22" s="11" t="s">
        <v>736</v>
      </c>
      <c r="B22" s="75">
        <v>0.21</v>
      </c>
      <c r="D22" s="11" t="s">
        <v>737</v>
      </c>
      <c r="E22" s="11">
        <v>21.0</v>
      </c>
    </row>
    <row r="23">
      <c r="A23" s="11" t="s">
        <v>738</v>
      </c>
      <c r="B23" s="75">
        <v>0.22</v>
      </c>
      <c r="D23" s="11" t="s">
        <v>739</v>
      </c>
      <c r="E23" s="11">
        <v>22.0</v>
      </c>
    </row>
    <row r="24">
      <c r="A24" s="11" t="s">
        <v>740</v>
      </c>
      <c r="B24" s="75">
        <v>0.23</v>
      </c>
      <c r="D24" s="11" t="s">
        <v>741</v>
      </c>
      <c r="E24" s="11">
        <v>23.0</v>
      </c>
    </row>
    <row r="25">
      <c r="A25" s="11" t="s">
        <v>742</v>
      </c>
      <c r="B25" s="75">
        <v>0.24</v>
      </c>
      <c r="D25" s="11" t="s">
        <v>743</v>
      </c>
      <c r="E25" s="11">
        <v>24.0</v>
      </c>
    </row>
    <row r="26">
      <c r="A26" s="11" t="s">
        <v>744</v>
      </c>
      <c r="B26" s="75">
        <v>0.25</v>
      </c>
      <c r="D26" s="11" t="s">
        <v>745</v>
      </c>
      <c r="E26" s="11">
        <v>25.0</v>
      </c>
    </row>
    <row r="27">
      <c r="A27" s="11" t="s">
        <v>746</v>
      </c>
      <c r="B27" s="75">
        <v>0.26</v>
      </c>
      <c r="D27" s="11" t="s">
        <v>747</v>
      </c>
      <c r="E27" s="11">
        <v>26.0</v>
      </c>
    </row>
    <row r="28">
      <c r="A28" s="11" t="s">
        <v>748</v>
      </c>
      <c r="B28" s="75">
        <v>0.27</v>
      </c>
      <c r="D28" s="11" t="s">
        <v>749</v>
      </c>
      <c r="E28" s="11">
        <v>27.0</v>
      </c>
    </row>
    <row r="29">
      <c r="A29" s="11" t="s">
        <v>750</v>
      </c>
      <c r="B29" s="75">
        <v>0.28</v>
      </c>
      <c r="D29" s="11" t="s">
        <v>751</v>
      </c>
      <c r="E29" s="11">
        <v>28.0</v>
      </c>
    </row>
    <row r="30">
      <c r="A30" s="11" t="s">
        <v>752</v>
      </c>
      <c r="B30" s="75">
        <v>0.29</v>
      </c>
      <c r="D30" s="11" t="s">
        <v>753</v>
      </c>
      <c r="E30" s="11">
        <v>29.0</v>
      </c>
    </row>
    <row r="31">
      <c r="A31" s="11" t="s">
        <v>754</v>
      </c>
      <c r="B31" s="75">
        <v>0.3</v>
      </c>
      <c r="D31" s="11" t="s">
        <v>755</v>
      </c>
      <c r="E31" s="11">
        <v>30.0</v>
      </c>
    </row>
    <row r="32">
      <c r="A32" s="11" t="s">
        <v>756</v>
      </c>
      <c r="B32" s="75">
        <v>0.31</v>
      </c>
      <c r="D32" s="11" t="s">
        <v>757</v>
      </c>
      <c r="E32" s="11">
        <v>31.0</v>
      </c>
    </row>
    <row r="33">
      <c r="A33" s="11" t="s">
        <v>758</v>
      </c>
      <c r="B33" s="75">
        <v>0.32</v>
      </c>
      <c r="D33" s="11" t="s">
        <v>759</v>
      </c>
      <c r="E33" s="11">
        <v>32.0</v>
      </c>
    </row>
    <row r="34">
      <c r="A34" s="11" t="s">
        <v>760</v>
      </c>
      <c r="B34" s="75">
        <v>0.33</v>
      </c>
      <c r="D34" s="11" t="s">
        <v>761</v>
      </c>
      <c r="E34" s="11">
        <v>33.0</v>
      </c>
    </row>
    <row r="35">
      <c r="A35" s="11" t="s">
        <v>762</v>
      </c>
      <c r="B35" s="75">
        <v>0.34</v>
      </c>
      <c r="D35" s="11" t="s">
        <v>763</v>
      </c>
      <c r="E35" s="11">
        <v>34.0</v>
      </c>
    </row>
    <row r="36">
      <c r="A36" s="11" t="s">
        <v>764</v>
      </c>
      <c r="B36" s="75">
        <v>0.35</v>
      </c>
      <c r="D36" s="11" t="s">
        <v>765</v>
      </c>
      <c r="E36" s="11">
        <v>35.0</v>
      </c>
    </row>
    <row r="37">
      <c r="A37" s="11" t="s">
        <v>766</v>
      </c>
      <c r="B37" s="75">
        <v>0.36</v>
      </c>
      <c r="D37" s="11" t="s">
        <v>767</v>
      </c>
      <c r="E37" s="11">
        <v>36.0</v>
      </c>
    </row>
    <row r="38">
      <c r="A38" s="11" t="s">
        <v>768</v>
      </c>
      <c r="B38" s="75">
        <v>0.37</v>
      </c>
      <c r="D38" s="11" t="s">
        <v>769</v>
      </c>
      <c r="E38" s="11">
        <v>37.0</v>
      </c>
    </row>
    <row r="39">
      <c r="A39" s="11" t="s">
        <v>770</v>
      </c>
      <c r="B39" s="75">
        <v>0.38</v>
      </c>
      <c r="D39" s="11" t="s">
        <v>771</v>
      </c>
      <c r="E39" s="11">
        <v>38.0</v>
      </c>
    </row>
    <row r="40">
      <c r="A40" s="11" t="s">
        <v>772</v>
      </c>
      <c r="B40" s="75">
        <v>0.39</v>
      </c>
      <c r="D40" s="11" t="s">
        <v>773</v>
      </c>
      <c r="E40" s="11">
        <v>39.0</v>
      </c>
    </row>
    <row r="41">
      <c r="A41" s="11" t="s">
        <v>774</v>
      </c>
      <c r="B41" s="75">
        <v>0.4</v>
      </c>
      <c r="D41" s="11" t="s">
        <v>775</v>
      </c>
      <c r="E41" s="11">
        <v>40.0</v>
      </c>
    </row>
    <row r="42">
      <c r="A42" s="11" t="s">
        <v>776</v>
      </c>
      <c r="B42" s="75">
        <v>0.41</v>
      </c>
      <c r="D42" s="11" t="s">
        <v>777</v>
      </c>
      <c r="E42" s="11">
        <v>41.0</v>
      </c>
    </row>
    <row r="43">
      <c r="A43" s="11" t="s">
        <v>778</v>
      </c>
      <c r="B43" s="75">
        <v>0.42</v>
      </c>
      <c r="D43" s="11" t="s">
        <v>779</v>
      </c>
      <c r="E43" s="11">
        <v>42.0</v>
      </c>
    </row>
    <row r="44">
      <c r="A44" s="11" t="s">
        <v>780</v>
      </c>
      <c r="B44" s="75">
        <v>0.43</v>
      </c>
      <c r="D44" s="11" t="s">
        <v>781</v>
      </c>
      <c r="E44" s="11">
        <v>43.0</v>
      </c>
    </row>
    <row r="45">
      <c r="A45" s="11" t="s">
        <v>782</v>
      </c>
      <c r="B45" s="75">
        <v>0.44</v>
      </c>
      <c r="D45" s="11" t="s">
        <v>783</v>
      </c>
      <c r="E45" s="11">
        <v>44.0</v>
      </c>
    </row>
    <row r="46">
      <c r="A46" s="11" t="s">
        <v>784</v>
      </c>
      <c r="B46" s="75">
        <v>0.45</v>
      </c>
      <c r="D46" s="11" t="s">
        <v>785</v>
      </c>
      <c r="E46" s="11">
        <v>45.0</v>
      </c>
    </row>
    <row r="47">
      <c r="A47" s="11" t="s">
        <v>786</v>
      </c>
      <c r="B47" s="75">
        <v>0.46</v>
      </c>
      <c r="D47" s="11" t="s">
        <v>787</v>
      </c>
      <c r="E47" s="11">
        <v>46.0</v>
      </c>
    </row>
    <row r="48">
      <c r="A48" s="11" t="s">
        <v>788</v>
      </c>
      <c r="B48" s="75">
        <v>0.47</v>
      </c>
      <c r="D48" s="11" t="s">
        <v>789</v>
      </c>
      <c r="E48" s="11">
        <v>47.0</v>
      </c>
    </row>
    <row r="49">
      <c r="A49" s="11" t="s">
        <v>790</v>
      </c>
      <c r="B49" s="75">
        <v>0.48</v>
      </c>
      <c r="D49" s="11" t="s">
        <v>791</v>
      </c>
      <c r="E49" s="11">
        <v>48.0</v>
      </c>
    </row>
    <row r="50">
      <c r="A50" s="11" t="s">
        <v>792</v>
      </c>
      <c r="B50" s="75">
        <v>0.49</v>
      </c>
      <c r="D50" s="11" t="s">
        <v>793</v>
      </c>
      <c r="E50" s="11">
        <v>49.0</v>
      </c>
    </row>
    <row r="51">
      <c r="A51" s="11" t="s">
        <v>794</v>
      </c>
      <c r="B51" s="75">
        <v>0.5</v>
      </c>
      <c r="D51" s="11" t="s">
        <v>795</v>
      </c>
      <c r="E51" s="11">
        <v>50.0</v>
      </c>
    </row>
    <row r="52">
      <c r="A52" s="11" t="s">
        <v>796</v>
      </c>
      <c r="B52" s="75">
        <v>0.51</v>
      </c>
      <c r="D52" s="11" t="s">
        <v>797</v>
      </c>
      <c r="E52" s="11">
        <v>51.0</v>
      </c>
    </row>
    <row r="53">
      <c r="A53" s="11" t="s">
        <v>798</v>
      </c>
      <c r="B53" s="75">
        <v>0.52</v>
      </c>
      <c r="D53" s="11" t="s">
        <v>799</v>
      </c>
      <c r="E53" s="11">
        <v>52.0</v>
      </c>
    </row>
    <row r="54">
      <c r="A54" s="11" t="s">
        <v>800</v>
      </c>
      <c r="B54" s="75">
        <v>0.53</v>
      </c>
      <c r="D54" s="11" t="s">
        <v>801</v>
      </c>
      <c r="E54" s="11">
        <v>53.0</v>
      </c>
    </row>
    <row r="55">
      <c r="A55" s="11" t="s">
        <v>802</v>
      </c>
      <c r="B55" s="75">
        <v>0.54</v>
      </c>
      <c r="D55" s="11" t="s">
        <v>803</v>
      </c>
      <c r="E55" s="11">
        <v>54.0</v>
      </c>
    </row>
    <row r="56">
      <c r="A56" s="11" t="s">
        <v>804</v>
      </c>
      <c r="B56" s="75">
        <v>0.55</v>
      </c>
      <c r="D56" s="11" t="s">
        <v>805</v>
      </c>
      <c r="E56" s="11">
        <v>55.0</v>
      </c>
    </row>
    <row r="57">
      <c r="A57" s="11" t="s">
        <v>806</v>
      </c>
      <c r="B57" s="75">
        <v>0.56</v>
      </c>
      <c r="D57" s="11" t="s">
        <v>807</v>
      </c>
      <c r="E57" s="11">
        <v>56.0</v>
      </c>
    </row>
    <row r="58">
      <c r="A58" s="11" t="s">
        <v>808</v>
      </c>
      <c r="B58" s="75">
        <v>0.57</v>
      </c>
      <c r="D58" s="11" t="s">
        <v>809</v>
      </c>
      <c r="E58" s="11">
        <v>57.0</v>
      </c>
    </row>
    <row r="59">
      <c r="A59" s="11" t="s">
        <v>810</v>
      </c>
      <c r="B59" s="75">
        <v>0.58</v>
      </c>
      <c r="D59" s="11" t="s">
        <v>811</v>
      </c>
      <c r="E59" s="11">
        <v>58.0</v>
      </c>
    </row>
    <row r="60">
      <c r="A60" s="11" t="s">
        <v>812</v>
      </c>
      <c r="B60" s="75">
        <v>0.59</v>
      </c>
      <c r="D60" s="11" t="s">
        <v>813</v>
      </c>
      <c r="E60" s="11">
        <v>59.0</v>
      </c>
    </row>
    <row r="61">
      <c r="A61" s="11" t="s">
        <v>814</v>
      </c>
      <c r="B61" s="75">
        <v>0.6</v>
      </c>
      <c r="D61" s="11" t="s">
        <v>815</v>
      </c>
      <c r="E61" s="11">
        <v>60.0</v>
      </c>
    </row>
    <row r="62">
      <c r="A62" s="11" t="s">
        <v>816</v>
      </c>
      <c r="B62" s="75">
        <v>0.61</v>
      </c>
      <c r="D62" s="11" t="s">
        <v>817</v>
      </c>
      <c r="E62" s="11">
        <v>61.0</v>
      </c>
    </row>
    <row r="63">
      <c r="A63" s="11" t="s">
        <v>818</v>
      </c>
      <c r="B63" s="75">
        <v>0.62</v>
      </c>
      <c r="D63" s="11" t="s">
        <v>819</v>
      </c>
      <c r="E63" s="11">
        <v>62.0</v>
      </c>
    </row>
    <row r="64">
      <c r="A64" s="11" t="s">
        <v>820</v>
      </c>
      <c r="B64" s="75">
        <v>0.63</v>
      </c>
      <c r="D64" s="11" t="s">
        <v>821</v>
      </c>
      <c r="E64" s="11">
        <v>63.0</v>
      </c>
    </row>
    <row r="65">
      <c r="A65" s="11" t="s">
        <v>822</v>
      </c>
      <c r="B65" s="75">
        <v>0.64</v>
      </c>
      <c r="D65" s="11" t="s">
        <v>823</v>
      </c>
      <c r="E65" s="11">
        <v>64.0</v>
      </c>
    </row>
    <row r="66">
      <c r="A66" s="11" t="s">
        <v>824</v>
      </c>
      <c r="B66" s="75">
        <v>0.65</v>
      </c>
      <c r="D66" s="11" t="s">
        <v>825</v>
      </c>
      <c r="E66" s="11">
        <v>65.0</v>
      </c>
    </row>
    <row r="67">
      <c r="A67" s="11" t="s">
        <v>826</v>
      </c>
      <c r="B67" s="75">
        <v>0.66</v>
      </c>
      <c r="D67" s="11" t="s">
        <v>827</v>
      </c>
      <c r="E67" s="11">
        <v>66.0</v>
      </c>
    </row>
    <row r="68">
      <c r="A68" s="11" t="s">
        <v>828</v>
      </c>
      <c r="B68" s="75">
        <v>0.67</v>
      </c>
      <c r="D68" s="11" t="s">
        <v>829</v>
      </c>
      <c r="E68" s="11">
        <v>67.0</v>
      </c>
    </row>
    <row r="69">
      <c r="A69" s="11" t="s">
        <v>830</v>
      </c>
      <c r="B69" s="75">
        <v>0.68</v>
      </c>
      <c r="D69" s="11" t="s">
        <v>831</v>
      </c>
      <c r="E69" s="11">
        <v>68.0</v>
      </c>
    </row>
    <row r="70">
      <c r="A70" s="11" t="s">
        <v>832</v>
      </c>
      <c r="B70" s="75">
        <v>0.69</v>
      </c>
      <c r="D70" s="11" t="s">
        <v>833</v>
      </c>
      <c r="E70" s="11">
        <v>69.0</v>
      </c>
    </row>
    <row r="71">
      <c r="A71" s="11" t="s">
        <v>834</v>
      </c>
      <c r="B71" s="75">
        <v>0.7</v>
      </c>
      <c r="D71" s="11" t="s">
        <v>835</v>
      </c>
      <c r="E71" s="11">
        <v>70.0</v>
      </c>
    </row>
    <row r="72">
      <c r="A72" s="11" t="s">
        <v>836</v>
      </c>
      <c r="B72" s="75">
        <v>0.71</v>
      </c>
      <c r="D72" s="11" t="s">
        <v>837</v>
      </c>
      <c r="E72" s="11">
        <v>71.0</v>
      </c>
    </row>
    <row r="73">
      <c r="A73" s="11" t="s">
        <v>838</v>
      </c>
      <c r="B73" s="75">
        <v>0.72</v>
      </c>
      <c r="D73" s="11" t="s">
        <v>839</v>
      </c>
      <c r="E73" s="11">
        <v>72.0</v>
      </c>
    </row>
    <row r="74">
      <c r="A74" s="11" t="s">
        <v>840</v>
      </c>
      <c r="B74" s="75">
        <v>0.73</v>
      </c>
      <c r="D74" s="11" t="s">
        <v>841</v>
      </c>
      <c r="E74" s="11">
        <v>73.0</v>
      </c>
    </row>
    <row r="75">
      <c r="A75" s="11" t="s">
        <v>842</v>
      </c>
      <c r="B75" s="75">
        <v>0.74</v>
      </c>
      <c r="D75" s="11" t="s">
        <v>843</v>
      </c>
      <c r="E75" s="11">
        <v>74.0</v>
      </c>
    </row>
    <row r="76">
      <c r="A76" s="11" t="s">
        <v>844</v>
      </c>
      <c r="B76" s="75">
        <v>0.75</v>
      </c>
      <c r="D76" s="11" t="s">
        <v>845</v>
      </c>
      <c r="E76" s="11">
        <v>75.0</v>
      </c>
    </row>
    <row r="77">
      <c r="A77" s="11" t="s">
        <v>846</v>
      </c>
      <c r="B77" s="75">
        <v>0.76</v>
      </c>
      <c r="D77" s="11" t="s">
        <v>847</v>
      </c>
      <c r="E77" s="11">
        <v>76.0</v>
      </c>
    </row>
    <row r="78">
      <c r="A78" s="11" t="s">
        <v>848</v>
      </c>
      <c r="B78" s="75">
        <v>0.77</v>
      </c>
      <c r="D78" s="11" t="s">
        <v>849</v>
      </c>
      <c r="E78" s="11">
        <v>77.0</v>
      </c>
    </row>
    <row r="79">
      <c r="A79" s="11" t="s">
        <v>850</v>
      </c>
      <c r="B79" s="75">
        <v>0.78</v>
      </c>
      <c r="D79" s="11" t="s">
        <v>851</v>
      </c>
      <c r="E79" s="11">
        <v>78.0</v>
      </c>
    </row>
    <row r="80">
      <c r="A80" s="11" t="s">
        <v>852</v>
      </c>
      <c r="B80" s="75">
        <v>0.79</v>
      </c>
      <c r="D80" s="11" t="s">
        <v>853</v>
      </c>
      <c r="E80" s="11">
        <v>79.0</v>
      </c>
    </row>
    <row r="81">
      <c r="A81" s="11" t="s">
        <v>854</v>
      </c>
      <c r="B81" s="75">
        <v>0.8</v>
      </c>
      <c r="D81" s="11" t="s">
        <v>855</v>
      </c>
      <c r="E81" s="11">
        <v>80.0</v>
      </c>
    </row>
    <row r="82">
      <c r="A82" s="11" t="s">
        <v>856</v>
      </c>
      <c r="B82" s="75">
        <v>0.81</v>
      </c>
      <c r="D82" s="11" t="s">
        <v>857</v>
      </c>
      <c r="E82" s="11">
        <v>81.0</v>
      </c>
    </row>
    <row r="83">
      <c r="A83" s="11" t="s">
        <v>858</v>
      </c>
      <c r="B83" s="75">
        <v>0.82</v>
      </c>
      <c r="D83" s="11" t="s">
        <v>859</v>
      </c>
      <c r="E83" s="11">
        <v>82.0</v>
      </c>
    </row>
    <row r="84">
      <c r="A84" s="11" t="s">
        <v>860</v>
      </c>
      <c r="B84" s="75">
        <v>0.83</v>
      </c>
      <c r="D84" s="11" t="s">
        <v>861</v>
      </c>
      <c r="E84" s="11">
        <v>83.0</v>
      </c>
    </row>
    <row r="85">
      <c r="A85" s="11" t="s">
        <v>862</v>
      </c>
      <c r="B85" s="75">
        <v>0.84</v>
      </c>
      <c r="D85" s="11" t="s">
        <v>863</v>
      </c>
      <c r="E85" s="11">
        <v>84.0</v>
      </c>
    </row>
    <row r="86">
      <c r="A86" s="11" t="s">
        <v>864</v>
      </c>
      <c r="B86" s="75">
        <v>0.85</v>
      </c>
      <c r="D86" s="11" t="s">
        <v>865</v>
      </c>
      <c r="E86" s="11">
        <v>85.0</v>
      </c>
    </row>
    <row r="87">
      <c r="A87" s="11" t="s">
        <v>866</v>
      </c>
      <c r="B87" s="75">
        <v>0.86</v>
      </c>
      <c r="D87" s="11" t="s">
        <v>867</v>
      </c>
      <c r="E87" s="11">
        <v>86.0</v>
      </c>
    </row>
    <row r="88">
      <c r="A88" s="11" t="s">
        <v>868</v>
      </c>
      <c r="B88" s="75">
        <v>0.87</v>
      </c>
      <c r="D88" s="11" t="s">
        <v>869</v>
      </c>
      <c r="E88" s="11">
        <v>87.0</v>
      </c>
    </row>
    <row r="89">
      <c r="A89" s="11" t="s">
        <v>870</v>
      </c>
      <c r="B89" s="75">
        <v>0.88</v>
      </c>
      <c r="D89" s="11" t="s">
        <v>871</v>
      </c>
      <c r="E89" s="11">
        <v>88.0</v>
      </c>
    </row>
    <row r="90">
      <c r="A90" s="11" t="s">
        <v>872</v>
      </c>
      <c r="B90" s="75">
        <v>0.89</v>
      </c>
      <c r="D90" s="11" t="s">
        <v>873</v>
      </c>
      <c r="E90" s="11">
        <v>89.0</v>
      </c>
    </row>
    <row r="91">
      <c r="A91" s="11" t="s">
        <v>874</v>
      </c>
      <c r="B91" s="75">
        <v>0.9</v>
      </c>
      <c r="D91" s="11" t="s">
        <v>875</v>
      </c>
      <c r="E91" s="11">
        <v>90.0</v>
      </c>
    </row>
    <row r="92">
      <c r="A92" s="11" t="s">
        <v>876</v>
      </c>
      <c r="B92" s="75">
        <v>0.91</v>
      </c>
      <c r="D92" s="11" t="s">
        <v>877</v>
      </c>
      <c r="E92" s="11">
        <v>91.0</v>
      </c>
    </row>
    <row r="93">
      <c r="A93" s="11" t="s">
        <v>878</v>
      </c>
      <c r="B93" s="75">
        <v>0.92</v>
      </c>
      <c r="D93" s="11" t="s">
        <v>879</v>
      </c>
      <c r="E93" s="11">
        <v>92.0</v>
      </c>
    </row>
    <row r="94">
      <c r="A94" s="11" t="s">
        <v>880</v>
      </c>
      <c r="B94" s="75">
        <v>0.93</v>
      </c>
      <c r="D94" s="11" t="s">
        <v>881</v>
      </c>
      <c r="E94" s="11">
        <v>93.0</v>
      </c>
    </row>
    <row r="95">
      <c r="A95" s="11" t="s">
        <v>882</v>
      </c>
      <c r="B95" s="75">
        <v>0.94</v>
      </c>
      <c r="D95" s="11" t="s">
        <v>883</v>
      </c>
      <c r="E95" s="11">
        <v>94.0</v>
      </c>
    </row>
    <row r="96">
      <c r="A96" s="11" t="s">
        <v>884</v>
      </c>
      <c r="B96" s="75">
        <v>0.95</v>
      </c>
      <c r="D96" s="11" t="s">
        <v>885</v>
      </c>
      <c r="E96" s="11">
        <v>95.0</v>
      </c>
    </row>
    <row r="97">
      <c r="A97" s="11" t="s">
        <v>886</v>
      </c>
      <c r="B97" s="75">
        <v>0.96</v>
      </c>
      <c r="D97" s="11" t="s">
        <v>887</v>
      </c>
      <c r="E97" s="11">
        <v>96.0</v>
      </c>
    </row>
    <row r="98">
      <c r="A98" s="11" t="s">
        <v>888</v>
      </c>
      <c r="B98" s="75">
        <v>0.97</v>
      </c>
      <c r="D98" s="11" t="s">
        <v>889</v>
      </c>
      <c r="E98" s="11">
        <v>97.0</v>
      </c>
    </row>
    <row r="99">
      <c r="A99" s="11" t="s">
        <v>890</v>
      </c>
      <c r="B99" s="75">
        <v>0.98</v>
      </c>
      <c r="D99" s="11" t="s">
        <v>891</v>
      </c>
      <c r="E99" s="11">
        <v>98.0</v>
      </c>
    </row>
    <row r="100">
      <c r="A100" s="11" t="s">
        <v>892</v>
      </c>
      <c r="B100" s="75">
        <v>0.99</v>
      </c>
      <c r="D100" s="11" t="s">
        <v>893</v>
      </c>
      <c r="E100" s="11">
        <v>99.0</v>
      </c>
    </row>
    <row r="101">
      <c r="A101" s="11" t="s">
        <v>894</v>
      </c>
      <c r="B101" s="75">
        <v>1.0</v>
      </c>
      <c r="D101" s="11" t="s">
        <v>895</v>
      </c>
      <c r="E101" s="11">
        <v>100.0</v>
      </c>
    </row>
    <row r="102">
      <c r="B102" s="76"/>
      <c r="D102" s="11" t="s">
        <v>896</v>
      </c>
      <c r="E102" s="11">
        <v>101.0</v>
      </c>
    </row>
    <row r="103">
      <c r="B103" s="76"/>
      <c r="D103" s="11" t="s">
        <v>897</v>
      </c>
      <c r="E103" s="11">
        <v>102.0</v>
      </c>
    </row>
    <row r="104">
      <c r="B104" s="76"/>
      <c r="D104" s="11" t="s">
        <v>898</v>
      </c>
      <c r="E104" s="11">
        <v>103.0</v>
      </c>
    </row>
    <row r="105">
      <c r="B105" s="76"/>
      <c r="D105" s="11" t="s">
        <v>899</v>
      </c>
      <c r="E105" s="11">
        <v>104.0</v>
      </c>
    </row>
    <row r="106">
      <c r="B106" s="76"/>
      <c r="D106" s="11" t="s">
        <v>900</v>
      </c>
      <c r="E106" s="11">
        <v>105.0</v>
      </c>
    </row>
    <row r="107">
      <c r="B107" s="76"/>
      <c r="D107" s="11" t="s">
        <v>901</v>
      </c>
      <c r="E107" s="11">
        <v>106.0</v>
      </c>
    </row>
    <row r="108">
      <c r="B108" s="76"/>
      <c r="D108" s="11" t="s">
        <v>902</v>
      </c>
      <c r="E108" s="11">
        <v>107.0</v>
      </c>
    </row>
    <row r="109">
      <c r="B109" s="76"/>
      <c r="D109" s="11" t="s">
        <v>903</v>
      </c>
      <c r="E109" s="11">
        <v>108.0</v>
      </c>
    </row>
    <row r="110">
      <c r="B110" s="76"/>
      <c r="D110" s="11" t="s">
        <v>904</v>
      </c>
      <c r="E110" s="11">
        <v>109.0</v>
      </c>
    </row>
    <row r="111">
      <c r="B111" s="76"/>
      <c r="D111" s="11" t="s">
        <v>905</v>
      </c>
      <c r="E111" s="11">
        <v>110.0</v>
      </c>
    </row>
    <row r="112">
      <c r="B112" s="76"/>
      <c r="D112" s="11" t="s">
        <v>906</v>
      </c>
      <c r="E112" s="11">
        <v>111.0</v>
      </c>
    </row>
    <row r="113">
      <c r="B113" s="76"/>
      <c r="D113" s="11" t="s">
        <v>907</v>
      </c>
      <c r="E113" s="11">
        <v>112.0</v>
      </c>
    </row>
    <row r="114">
      <c r="B114" s="76"/>
      <c r="D114" s="11" t="s">
        <v>908</v>
      </c>
      <c r="E114" s="11">
        <v>113.0</v>
      </c>
    </row>
    <row r="115">
      <c r="B115" s="76"/>
      <c r="D115" s="11" t="s">
        <v>909</v>
      </c>
      <c r="E115" s="11">
        <v>114.0</v>
      </c>
    </row>
    <row r="116">
      <c r="B116" s="76"/>
      <c r="D116" s="11" t="s">
        <v>910</v>
      </c>
      <c r="E116" s="11">
        <v>115.0</v>
      </c>
    </row>
    <row r="117">
      <c r="B117" s="76"/>
      <c r="D117" s="11" t="s">
        <v>911</v>
      </c>
      <c r="E117" s="11">
        <v>116.0</v>
      </c>
    </row>
    <row r="118">
      <c r="B118" s="76"/>
      <c r="D118" s="11" t="s">
        <v>912</v>
      </c>
      <c r="E118" s="11">
        <v>117.0</v>
      </c>
    </row>
    <row r="119">
      <c r="B119" s="76"/>
      <c r="D119" s="11" t="s">
        <v>913</v>
      </c>
      <c r="E119" s="11">
        <v>118.0</v>
      </c>
    </row>
    <row r="120">
      <c r="B120" s="76"/>
      <c r="D120" s="11" t="s">
        <v>914</v>
      </c>
      <c r="E120" s="11">
        <v>119.0</v>
      </c>
    </row>
    <row r="121">
      <c r="B121" s="76"/>
      <c r="D121" s="11" t="s">
        <v>915</v>
      </c>
      <c r="E121" s="11">
        <v>120.0</v>
      </c>
    </row>
    <row r="122">
      <c r="B122" s="76"/>
      <c r="D122" s="11" t="s">
        <v>916</v>
      </c>
      <c r="E122" s="11">
        <v>121.0</v>
      </c>
    </row>
    <row r="123">
      <c r="B123" s="76"/>
      <c r="D123" s="11" t="s">
        <v>917</v>
      </c>
      <c r="E123" s="11">
        <v>122.0</v>
      </c>
    </row>
    <row r="124">
      <c r="B124" s="76"/>
      <c r="D124" s="11" t="s">
        <v>918</v>
      </c>
      <c r="E124" s="11">
        <v>123.0</v>
      </c>
    </row>
    <row r="125">
      <c r="B125" s="76"/>
      <c r="D125" s="11" t="s">
        <v>919</v>
      </c>
      <c r="E125" s="11">
        <v>124.0</v>
      </c>
    </row>
    <row r="126">
      <c r="B126" s="76"/>
      <c r="D126" s="11" t="s">
        <v>920</v>
      </c>
      <c r="E126" s="11">
        <v>125.0</v>
      </c>
    </row>
    <row r="127">
      <c r="B127" s="76"/>
      <c r="D127" s="11" t="s">
        <v>921</v>
      </c>
      <c r="E127" s="11">
        <v>126.0</v>
      </c>
    </row>
    <row r="128">
      <c r="B128" s="76"/>
      <c r="D128" s="11" t="s">
        <v>922</v>
      </c>
      <c r="E128" s="11">
        <v>127.0</v>
      </c>
    </row>
    <row r="129">
      <c r="B129" s="76"/>
      <c r="D129" s="11" t="s">
        <v>923</v>
      </c>
      <c r="E129" s="11">
        <v>128.0</v>
      </c>
    </row>
    <row r="130">
      <c r="B130" s="76"/>
      <c r="D130" s="11" t="s">
        <v>924</v>
      </c>
      <c r="E130" s="11">
        <v>129.0</v>
      </c>
    </row>
    <row r="131">
      <c r="B131" s="76"/>
      <c r="D131" s="11" t="s">
        <v>925</v>
      </c>
      <c r="E131" s="11">
        <v>130.0</v>
      </c>
    </row>
    <row r="132">
      <c r="B132" s="76"/>
      <c r="D132" s="11" t="s">
        <v>926</v>
      </c>
      <c r="E132" s="11">
        <v>131.0</v>
      </c>
    </row>
    <row r="133">
      <c r="B133" s="76"/>
      <c r="D133" s="11" t="s">
        <v>927</v>
      </c>
      <c r="E133" s="11">
        <v>132.0</v>
      </c>
    </row>
    <row r="134">
      <c r="B134" s="76"/>
      <c r="D134" s="11" t="s">
        <v>928</v>
      </c>
      <c r="E134" s="11">
        <v>133.0</v>
      </c>
    </row>
    <row r="135">
      <c r="B135" s="76"/>
      <c r="D135" s="11" t="s">
        <v>929</v>
      </c>
      <c r="E135" s="11">
        <v>134.0</v>
      </c>
    </row>
    <row r="136">
      <c r="B136" s="76"/>
      <c r="D136" s="11" t="s">
        <v>930</v>
      </c>
      <c r="E136" s="11">
        <v>135.0</v>
      </c>
    </row>
    <row r="137">
      <c r="B137" s="76"/>
      <c r="D137" s="11" t="s">
        <v>931</v>
      </c>
      <c r="E137" s="11">
        <v>136.0</v>
      </c>
    </row>
    <row r="138">
      <c r="B138" s="76"/>
      <c r="D138" s="11" t="s">
        <v>932</v>
      </c>
      <c r="E138" s="11">
        <v>137.0</v>
      </c>
    </row>
    <row r="139">
      <c r="B139" s="76"/>
      <c r="D139" s="11" t="s">
        <v>933</v>
      </c>
      <c r="E139" s="11">
        <v>138.0</v>
      </c>
    </row>
    <row r="140">
      <c r="B140" s="76"/>
      <c r="D140" s="11" t="s">
        <v>934</v>
      </c>
      <c r="E140" s="11">
        <v>139.0</v>
      </c>
    </row>
    <row r="141">
      <c r="B141" s="76"/>
      <c r="D141" s="11" t="s">
        <v>935</v>
      </c>
      <c r="E141" s="11">
        <v>140.0</v>
      </c>
    </row>
    <row r="142">
      <c r="B142" s="76"/>
      <c r="D142" s="11" t="s">
        <v>936</v>
      </c>
      <c r="E142" s="11">
        <v>141.0</v>
      </c>
    </row>
    <row r="143">
      <c r="B143" s="76"/>
      <c r="D143" s="11" t="s">
        <v>937</v>
      </c>
      <c r="E143" s="11">
        <v>142.0</v>
      </c>
    </row>
    <row r="144">
      <c r="B144" s="76"/>
      <c r="D144" s="11" t="s">
        <v>938</v>
      </c>
      <c r="E144" s="11">
        <v>143.0</v>
      </c>
    </row>
    <row r="145">
      <c r="B145" s="76"/>
      <c r="D145" s="11" t="s">
        <v>939</v>
      </c>
      <c r="E145" s="11">
        <v>144.0</v>
      </c>
    </row>
    <row r="146">
      <c r="B146" s="76"/>
      <c r="D146" s="11" t="s">
        <v>940</v>
      </c>
      <c r="E146" s="11">
        <v>145.0</v>
      </c>
    </row>
    <row r="147">
      <c r="B147" s="76"/>
      <c r="D147" s="11" t="s">
        <v>941</v>
      </c>
      <c r="E147" s="11">
        <v>146.0</v>
      </c>
    </row>
    <row r="148">
      <c r="B148" s="76"/>
      <c r="D148" s="11" t="s">
        <v>942</v>
      </c>
      <c r="E148" s="11">
        <v>147.0</v>
      </c>
    </row>
    <row r="149">
      <c r="B149" s="76"/>
      <c r="D149" s="11" t="s">
        <v>943</v>
      </c>
      <c r="E149" s="11">
        <v>148.0</v>
      </c>
    </row>
    <row r="150">
      <c r="B150" s="76"/>
      <c r="D150" s="11" t="s">
        <v>944</v>
      </c>
      <c r="E150" s="11">
        <v>149.0</v>
      </c>
    </row>
    <row r="151">
      <c r="B151" s="76"/>
      <c r="D151" s="11" t="s">
        <v>945</v>
      </c>
      <c r="E151" s="11">
        <v>150.0</v>
      </c>
    </row>
    <row r="152">
      <c r="B152" s="76"/>
      <c r="D152" s="11" t="s">
        <v>946</v>
      </c>
      <c r="E152" s="11">
        <v>151.0</v>
      </c>
    </row>
    <row r="153">
      <c r="B153" s="76"/>
      <c r="D153" s="11" t="s">
        <v>947</v>
      </c>
      <c r="E153" s="11">
        <v>152.0</v>
      </c>
    </row>
    <row r="154">
      <c r="B154" s="76"/>
      <c r="D154" s="11" t="s">
        <v>948</v>
      </c>
      <c r="E154" s="11">
        <v>153.0</v>
      </c>
    </row>
    <row r="155">
      <c r="B155" s="76"/>
      <c r="D155" s="11" t="s">
        <v>949</v>
      </c>
      <c r="E155" s="11">
        <v>154.0</v>
      </c>
    </row>
    <row r="156">
      <c r="B156" s="76"/>
      <c r="D156" s="11" t="s">
        <v>950</v>
      </c>
      <c r="E156" s="11">
        <v>155.0</v>
      </c>
    </row>
    <row r="157">
      <c r="B157" s="76"/>
      <c r="D157" s="11" t="s">
        <v>951</v>
      </c>
      <c r="E157" s="11">
        <v>156.0</v>
      </c>
    </row>
    <row r="158">
      <c r="B158" s="76"/>
      <c r="D158" s="11" t="s">
        <v>952</v>
      </c>
      <c r="E158" s="11">
        <v>157.0</v>
      </c>
    </row>
    <row r="159">
      <c r="B159" s="76"/>
      <c r="D159" s="11" t="s">
        <v>953</v>
      </c>
      <c r="E159" s="11">
        <v>158.0</v>
      </c>
    </row>
    <row r="160">
      <c r="B160" s="76"/>
      <c r="D160" s="11" t="s">
        <v>954</v>
      </c>
      <c r="E160" s="11">
        <v>159.0</v>
      </c>
    </row>
    <row r="161">
      <c r="B161" s="76"/>
      <c r="D161" s="11" t="s">
        <v>955</v>
      </c>
      <c r="E161" s="11">
        <v>160.0</v>
      </c>
    </row>
    <row r="162">
      <c r="B162" s="76"/>
      <c r="D162" s="11" t="s">
        <v>956</v>
      </c>
      <c r="E162" s="11">
        <v>161.0</v>
      </c>
    </row>
    <row r="163">
      <c r="B163" s="76"/>
      <c r="D163" s="11" t="s">
        <v>957</v>
      </c>
      <c r="E163" s="11">
        <v>162.0</v>
      </c>
    </row>
    <row r="164">
      <c r="B164" s="76"/>
      <c r="D164" s="11" t="s">
        <v>958</v>
      </c>
      <c r="E164" s="11">
        <v>163.0</v>
      </c>
    </row>
    <row r="165">
      <c r="B165" s="76"/>
      <c r="D165" s="11" t="s">
        <v>959</v>
      </c>
      <c r="E165" s="11">
        <v>164.0</v>
      </c>
    </row>
    <row r="166">
      <c r="B166" s="76"/>
      <c r="D166" s="11" t="s">
        <v>960</v>
      </c>
      <c r="E166" s="11">
        <v>165.0</v>
      </c>
    </row>
    <row r="167">
      <c r="B167" s="76"/>
      <c r="D167" s="11" t="s">
        <v>961</v>
      </c>
      <c r="E167" s="11">
        <v>166.0</v>
      </c>
    </row>
    <row r="168">
      <c r="B168" s="76"/>
      <c r="D168" s="11" t="s">
        <v>962</v>
      </c>
      <c r="E168" s="11">
        <v>167.0</v>
      </c>
    </row>
    <row r="169">
      <c r="B169" s="76"/>
      <c r="D169" s="11" t="s">
        <v>963</v>
      </c>
      <c r="E169" s="11">
        <v>168.0</v>
      </c>
    </row>
    <row r="170">
      <c r="B170" s="76"/>
      <c r="D170" s="11" t="s">
        <v>964</v>
      </c>
      <c r="E170" s="11">
        <v>169.0</v>
      </c>
    </row>
    <row r="171">
      <c r="B171" s="76"/>
      <c r="D171" s="11" t="s">
        <v>965</v>
      </c>
      <c r="E171" s="11">
        <v>170.0</v>
      </c>
    </row>
    <row r="172">
      <c r="B172" s="76"/>
      <c r="D172" s="11" t="s">
        <v>966</v>
      </c>
      <c r="E172" s="11">
        <v>171.0</v>
      </c>
    </row>
    <row r="173">
      <c r="B173" s="76"/>
      <c r="D173" s="11" t="s">
        <v>967</v>
      </c>
      <c r="E173" s="11">
        <v>172.0</v>
      </c>
    </row>
    <row r="174">
      <c r="B174" s="76"/>
      <c r="D174" s="11" t="s">
        <v>968</v>
      </c>
      <c r="E174" s="11">
        <v>173.0</v>
      </c>
    </row>
    <row r="175">
      <c r="B175" s="76"/>
      <c r="D175" s="11" t="s">
        <v>969</v>
      </c>
      <c r="E175" s="11">
        <v>174.0</v>
      </c>
    </row>
    <row r="176">
      <c r="B176" s="76"/>
      <c r="D176" s="11" t="s">
        <v>970</v>
      </c>
      <c r="E176" s="11">
        <v>175.0</v>
      </c>
    </row>
    <row r="177">
      <c r="B177" s="76"/>
      <c r="D177" s="11" t="s">
        <v>971</v>
      </c>
      <c r="E177" s="11">
        <v>176.0</v>
      </c>
    </row>
    <row r="178">
      <c r="B178" s="76"/>
      <c r="D178" s="11" t="s">
        <v>972</v>
      </c>
      <c r="E178" s="11">
        <v>177.0</v>
      </c>
    </row>
    <row r="179">
      <c r="B179" s="76"/>
      <c r="D179" s="11" t="s">
        <v>973</v>
      </c>
      <c r="E179" s="11">
        <v>178.0</v>
      </c>
    </row>
    <row r="180">
      <c r="B180" s="76"/>
      <c r="D180" s="11" t="s">
        <v>974</v>
      </c>
      <c r="E180" s="11">
        <v>179.0</v>
      </c>
    </row>
    <row r="181">
      <c r="B181" s="76"/>
      <c r="D181" s="11" t="s">
        <v>975</v>
      </c>
      <c r="E181" s="11">
        <v>180.0</v>
      </c>
    </row>
    <row r="182">
      <c r="B182" s="76"/>
      <c r="D182" s="11" t="s">
        <v>976</v>
      </c>
      <c r="E182" s="11">
        <v>181.0</v>
      </c>
    </row>
    <row r="183">
      <c r="B183" s="76"/>
      <c r="D183" s="11" t="s">
        <v>977</v>
      </c>
      <c r="E183" s="11">
        <v>182.0</v>
      </c>
    </row>
    <row r="184">
      <c r="B184" s="76"/>
      <c r="D184" s="11" t="s">
        <v>978</v>
      </c>
      <c r="E184" s="11">
        <v>183.0</v>
      </c>
    </row>
    <row r="185">
      <c r="B185" s="76"/>
      <c r="D185" s="11" t="s">
        <v>979</v>
      </c>
      <c r="E185" s="11">
        <v>184.0</v>
      </c>
    </row>
    <row r="186">
      <c r="B186" s="76"/>
      <c r="D186" s="11" t="s">
        <v>980</v>
      </c>
      <c r="E186" s="11">
        <v>185.0</v>
      </c>
    </row>
    <row r="187">
      <c r="B187" s="76"/>
      <c r="D187" s="11" t="s">
        <v>981</v>
      </c>
      <c r="E187" s="11">
        <v>186.0</v>
      </c>
    </row>
    <row r="188">
      <c r="B188" s="76"/>
      <c r="D188" s="11" t="s">
        <v>982</v>
      </c>
      <c r="E188" s="11">
        <v>187.0</v>
      </c>
    </row>
    <row r="189">
      <c r="B189" s="76"/>
      <c r="D189" s="11" t="s">
        <v>983</v>
      </c>
      <c r="E189" s="11">
        <v>188.0</v>
      </c>
    </row>
    <row r="190">
      <c r="B190" s="76"/>
      <c r="D190" s="11" t="s">
        <v>984</v>
      </c>
      <c r="E190" s="11">
        <v>189.0</v>
      </c>
    </row>
    <row r="191">
      <c r="B191" s="76"/>
      <c r="D191" s="11" t="s">
        <v>985</v>
      </c>
      <c r="E191" s="11">
        <v>190.0</v>
      </c>
    </row>
    <row r="192">
      <c r="B192" s="76"/>
      <c r="D192" s="11" t="s">
        <v>986</v>
      </c>
      <c r="E192" s="11">
        <v>191.0</v>
      </c>
    </row>
    <row r="193">
      <c r="B193" s="76"/>
      <c r="D193" s="11" t="s">
        <v>987</v>
      </c>
      <c r="E193" s="11">
        <v>192.0</v>
      </c>
    </row>
    <row r="194">
      <c r="B194" s="76"/>
      <c r="D194" s="11" t="s">
        <v>988</v>
      </c>
      <c r="E194" s="11">
        <v>193.0</v>
      </c>
    </row>
    <row r="195">
      <c r="B195" s="76"/>
      <c r="D195" s="11" t="s">
        <v>989</v>
      </c>
      <c r="E195" s="11">
        <v>194.0</v>
      </c>
    </row>
    <row r="196">
      <c r="B196" s="76"/>
      <c r="D196" s="11" t="s">
        <v>990</v>
      </c>
      <c r="E196" s="11">
        <v>195.0</v>
      </c>
    </row>
    <row r="197">
      <c r="B197" s="76"/>
      <c r="D197" s="11" t="s">
        <v>991</v>
      </c>
      <c r="E197" s="11">
        <v>196.0</v>
      </c>
    </row>
    <row r="198">
      <c r="B198" s="76"/>
      <c r="D198" s="11" t="s">
        <v>992</v>
      </c>
      <c r="E198" s="11">
        <v>197.0</v>
      </c>
    </row>
    <row r="199">
      <c r="B199" s="76"/>
      <c r="D199" s="11" t="s">
        <v>993</v>
      </c>
      <c r="E199" s="11">
        <v>198.0</v>
      </c>
    </row>
    <row r="200">
      <c r="B200" s="76"/>
      <c r="D200" s="11" t="s">
        <v>994</v>
      </c>
      <c r="E200" s="11">
        <v>199.0</v>
      </c>
    </row>
    <row r="201">
      <c r="B201" s="76"/>
      <c r="D201" s="11" t="s">
        <v>995</v>
      </c>
      <c r="E201" s="11">
        <v>200.0</v>
      </c>
    </row>
    <row r="202">
      <c r="B202" s="76"/>
      <c r="D202" s="11" t="s">
        <v>996</v>
      </c>
      <c r="E202" s="11">
        <v>201.0</v>
      </c>
    </row>
    <row r="203">
      <c r="B203" s="76"/>
      <c r="D203" s="11" t="s">
        <v>997</v>
      </c>
      <c r="E203" s="11">
        <v>202.0</v>
      </c>
    </row>
    <row r="204">
      <c r="B204" s="76"/>
      <c r="D204" s="11" t="s">
        <v>998</v>
      </c>
      <c r="E204" s="11">
        <v>203.0</v>
      </c>
    </row>
    <row r="205">
      <c r="B205" s="76"/>
      <c r="D205" s="11" t="s">
        <v>999</v>
      </c>
      <c r="E205" s="11">
        <v>204.0</v>
      </c>
    </row>
    <row r="206">
      <c r="B206" s="76"/>
      <c r="D206" s="11" t="s">
        <v>1000</v>
      </c>
      <c r="E206" s="11">
        <v>205.0</v>
      </c>
    </row>
    <row r="207">
      <c r="B207" s="76"/>
      <c r="D207" s="11" t="s">
        <v>1001</v>
      </c>
      <c r="E207" s="11">
        <v>206.0</v>
      </c>
    </row>
    <row r="208">
      <c r="B208" s="76"/>
      <c r="D208" s="11" t="s">
        <v>1002</v>
      </c>
      <c r="E208" s="11">
        <v>207.0</v>
      </c>
    </row>
    <row r="209">
      <c r="B209" s="76"/>
      <c r="D209" s="11" t="s">
        <v>1003</v>
      </c>
      <c r="E209" s="11">
        <v>208.0</v>
      </c>
    </row>
    <row r="210">
      <c r="B210" s="76"/>
      <c r="D210" s="11" t="s">
        <v>1004</v>
      </c>
      <c r="E210" s="11">
        <v>209.0</v>
      </c>
    </row>
    <row r="211">
      <c r="B211" s="76"/>
      <c r="D211" s="11" t="s">
        <v>1005</v>
      </c>
      <c r="E211" s="11">
        <v>210.0</v>
      </c>
    </row>
    <row r="212">
      <c r="B212" s="76"/>
      <c r="D212" s="11" t="s">
        <v>1006</v>
      </c>
      <c r="E212" s="11">
        <v>211.0</v>
      </c>
    </row>
    <row r="213">
      <c r="B213" s="76"/>
      <c r="D213" s="11" t="s">
        <v>1007</v>
      </c>
      <c r="E213" s="11">
        <v>212.0</v>
      </c>
    </row>
    <row r="214">
      <c r="B214" s="76"/>
      <c r="D214" s="11" t="s">
        <v>1008</v>
      </c>
      <c r="E214" s="11">
        <v>213.0</v>
      </c>
    </row>
    <row r="215">
      <c r="B215" s="76"/>
      <c r="D215" s="11" t="s">
        <v>1009</v>
      </c>
      <c r="E215" s="11">
        <v>214.0</v>
      </c>
    </row>
    <row r="216">
      <c r="B216" s="76"/>
      <c r="D216" s="11" t="s">
        <v>1010</v>
      </c>
      <c r="E216" s="11">
        <v>215.0</v>
      </c>
    </row>
    <row r="217">
      <c r="B217" s="76"/>
      <c r="D217" s="11" t="s">
        <v>1011</v>
      </c>
      <c r="E217" s="11">
        <v>216.0</v>
      </c>
    </row>
    <row r="218">
      <c r="B218" s="76"/>
      <c r="D218" s="11" t="s">
        <v>1012</v>
      </c>
      <c r="E218" s="11">
        <v>217.0</v>
      </c>
    </row>
    <row r="219">
      <c r="B219" s="76"/>
      <c r="D219" s="11" t="s">
        <v>1013</v>
      </c>
      <c r="E219" s="11">
        <v>218.0</v>
      </c>
    </row>
    <row r="220">
      <c r="B220" s="76"/>
      <c r="D220" s="11" t="s">
        <v>1014</v>
      </c>
      <c r="E220" s="11">
        <v>219.0</v>
      </c>
    </row>
    <row r="221">
      <c r="B221" s="76"/>
      <c r="D221" s="11" t="s">
        <v>1015</v>
      </c>
      <c r="E221" s="11">
        <v>220.0</v>
      </c>
    </row>
    <row r="222">
      <c r="B222" s="76"/>
      <c r="D222" s="11" t="s">
        <v>1016</v>
      </c>
      <c r="E222" s="11">
        <v>221.0</v>
      </c>
    </row>
    <row r="223">
      <c r="B223" s="76"/>
      <c r="D223" s="11" t="s">
        <v>1017</v>
      </c>
      <c r="E223" s="11">
        <v>222.0</v>
      </c>
    </row>
    <row r="224">
      <c r="B224" s="76"/>
      <c r="D224" s="11" t="s">
        <v>1018</v>
      </c>
      <c r="E224" s="11">
        <v>223.0</v>
      </c>
    </row>
    <row r="225">
      <c r="B225" s="76"/>
      <c r="D225" s="11" t="s">
        <v>1019</v>
      </c>
      <c r="E225" s="11">
        <v>224.0</v>
      </c>
    </row>
    <row r="226">
      <c r="B226" s="76"/>
      <c r="D226" s="11" t="s">
        <v>1020</v>
      </c>
      <c r="E226" s="11">
        <v>225.0</v>
      </c>
    </row>
    <row r="227">
      <c r="B227" s="76"/>
      <c r="D227" s="11" t="s">
        <v>1021</v>
      </c>
      <c r="E227" s="11">
        <v>226.0</v>
      </c>
    </row>
    <row r="228">
      <c r="B228" s="76"/>
      <c r="D228" s="11" t="s">
        <v>1022</v>
      </c>
      <c r="E228" s="11">
        <v>227.0</v>
      </c>
    </row>
    <row r="229">
      <c r="B229" s="76"/>
      <c r="D229" s="11" t="s">
        <v>1023</v>
      </c>
      <c r="E229" s="11">
        <v>228.0</v>
      </c>
    </row>
    <row r="230">
      <c r="B230" s="76"/>
      <c r="D230" s="11" t="s">
        <v>1024</v>
      </c>
      <c r="E230" s="11">
        <v>229.0</v>
      </c>
    </row>
    <row r="231">
      <c r="B231" s="76"/>
      <c r="D231" s="11" t="s">
        <v>1025</v>
      </c>
      <c r="E231" s="11">
        <v>230.0</v>
      </c>
    </row>
    <row r="232">
      <c r="B232" s="76"/>
      <c r="D232" s="11" t="s">
        <v>1026</v>
      </c>
      <c r="E232" s="11">
        <v>231.0</v>
      </c>
    </row>
    <row r="233">
      <c r="B233" s="76"/>
      <c r="D233" s="11" t="s">
        <v>1027</v>
      </c>
      <c r="E233" s="11">
        <v>232.0</v>
      </c>
    </row>
    <row r="234">
      <c r="B234" s="76"/>
      <c r="D234" s="11" t="s">
        <v>1028</v>
      </c>
      <c r="E234" s="11">
        <v>233.0</v>
      </c>
    </row>
    <row r="235">
      <c r="B235" s="76"/>
      <c r="D235" s="11" t="s">
        <v>1029</v>
      </c>
      <c r="E235" s="11">
        <v>234.0</v>
      </c>
    </row>
    <row r="236">
      <c r="B236" s="76"/>
      <c r="D236" s="11" t="s">
        <v>1030</v>
      </c>
      <c r="E236" s="11">
        <v>235.0</v>
      </c>
    </row>
    <row r="237">
      <c r="B237" s="76"/>
      <c r="D237" s="11" t="s">
        <v>1031</v>
      </c>
      <c r="E237" s="11">
        <v>236.0</v>
      </c>
    </row>
    <row r="238">
      <c r="B238" s="76"/>
      <c r="D238" s="11" t="s">
        <v>1032</v>
      </c>
      <c r="E238" s="11">
        <v>237.0</v>
      </c>
    </row>
    <row r="239">
      <c r="B239" s="76"/>
      <c r="D239" s="11" t="s">
        <v>1033</v>
      </c>
      <c r="E239" s="11">
        <v>238.0</v>
      </c>
    </row>
    <row r="240">
      <c r="B240" s="76"/>
      <c r="D240" s="11" t="s">
        <v>1034</v>
      </c>
      <c r="E240" s="11">
        <v>239.0</v>
      </c>
    </row>
    <row r="241">
      <c r="B241" s="76"/>
      <c r="D241" s="11" t="s">
        <v>1035</v>
      </c>
      <c r="E241" s="11">
        <v>240.0</v>
      </c>
    </row>
    <row r="242">
      <c r="B242" s="76"/>
      <c r="D242" s="11" t="s">
        <v>1036</v>
      </c>
      <c r="E242" s="11">
        <v>241.0</v>
      </c>
    </row>
    <row r="243">
      <c r="B243" s="76"/>
      <c r="D243" s="11" t="s">
        <v>1037</v>
      </c>
      <c r="E243" s="11">
        <v>242.0</v>
      </c>
    </row>
    <row r="244">
      <c r="B244" s="76"/>
      <c r="D244" s="11" t="s">
        <v>1038</v>
      </c>
      <c r="E244" s="11">
        <v>243.0</v>
      </c>
    </row>
    <row r="245">
      <c r="B245" s="76"/>
      <c r="D245" s="11" t="s">
        <v>1039</v>
      </c>
      <c r="E245" s="11">
        <v>244.0</v>
      </c>
    </row>
    <row r="246">
      <c r="B246" s="76"/>
      <c r="D246" s="11" t="s">
        <v>1040</v>
      </c>
      <c r="E246" s="11">
        <v>245.0</v>
      </c>
    </row>
    <row r="247">
      <c r="B247" s="76"/>
      <c r="D247" s="11" t="s">
        <v>1041</v>
      </c>
      <c r="E247" s="11">
        <v>246.0</v>
      </c>
    </row>
    <row r="248">
      <c r="B248" s="76"/>
      <c r="D248" s="11" t="s">
        <v>1042</v>
      </c>
      <c r="E248" s="11">
        <v>247.0</v>
      </c>
    </row>
    <row r="249">
      <c r="B249" s="76"/>
      <c r="D249" s="11" t="s">
        <v>1043</v>
      </c>
      <c r="E249" s="11">
        <v>248.0</v>
      </c>
    </row>
    <row r="250">
      <c r="B250" s="76"/>
      <c r="D250" s="11" t="s">
        <v>1044</v>
      </c>
      <c r="E250" s="11">
        <v>249.0</v>
      </c>
    </row>
    <row r="251">
      <c r="B251" s="76"/>
      <c r="D251" s="11" t="s">
        <v>1045</v>
      </c>
      <c r="E251" s="11">
        <v>250.0</v>
      </c>
    </row>
    <row r="252">
      <c r="B252" s="76"/>
      <c r="D252" s="11" t="s">
        <v>1046</v>
      </c>
      <c r="E252" s="11">
        <v>251.0</v>
      </c>
    </row>
    <row r="253">
      <c r="B253" s="76"/>
      <c r="D253" s="11" t="s">
        <v>1047</v>
      </c>
      <c r="E253" s="11">
        <v>252.0</v>
      </c>
    </row>
    <row r="254">
      <c r="B254" s="76"/>
      <c r="D254" s="11" t="s">
        <v>1048</v>
      </c>
      <c r="E254" s="11">
        <v>253.0</v>
      </c>
    </row>
    <row r="255">
      <c r="B255" s="76"/>
      <c r="D255" s="11" t="s">
        <v>1049</v>
      </c>
      <c r="E255" s="11">
        <v>254.0</v>
      </c>
    </row>
    <row r="256">
      <c r="B256" s="76"/>
      <c r="D256" s="11" t="s">
        <v>1050</v>
      </c>
      <c r="E256" s="11">
        <v>255.0</v>
      </c>
    </row>
    <row r="257">
      <c r="B257" s="76"/>
      <c r="D257" s="11" t="s">
        <v>1051</v>
      </c>
      <c r="E257" s="11">
        <v>256.0</v>
      </c>
    </row>
    <row r="258">
      <c r="B258" s="76"/>
      <c r="D258" s="11" t="s">
        <v>1052</v>
      </c>
      <c r="E258" s="11">
        <v>257.0</v>
      </c>
    </row>
    <row r="259">
      <c r="B259" s="76"/>
      <c r="D259" s="11" t="s">
        <v>1053</v>
      </c>
      <c r="E259" s="11">
        <v>258.0</v>
      </c>
    </row>
    <row r="260">
      <c r="B260" s="76"/>
      <c r="D260" s="11" t="s">
        <v>1054</v>
      </c>
      <c r="E260" s="11">
        <v>259.0</v>
      </c>
    </row>
    <row r="261">
      <c r="B261" s="76"/>
      <c r="D261" s="11" t="s">
        <v>1055</v>
      </c>
      <c r="E261" s="11">
        <v>260.0</v>
      </c>
    </row>
    <row r="262">
      <c r="B262" s="76"/>
      <c r="D262" s="11" t="s">
        <v>1056</v>
      </c>
      <c r="E262" s="11">
        <v>261.0</v>
      </c>
    </row>
    <row r="263">
      <c r="B263" s="76"/>
      <c r="D263" s="11" t="s">
        <v>1057</v>
      </c>
      <c r="E263" s="11">
        <v>262.0</v>
      </c>
    </row>
    <row r="264">
      <c r="B264" s="76"/>
      <c r="D264" s="11" t="s">
        <v>1058</v>
      </c>
      <c r="E264" s="11">
        <v>263.0</v>
      </c>
    </row>
    <row r="265">
      <c r="B265" s="76"/>
      <c r="D265" s="11" t="s">
        <v>1059</v>
      </c>
      <c r="E265" s="11">
        <v>264.0</v>
      </c>
    </row>
    <row r="266">
      <c r="B266" s="76"/>
      <c r="D266" s="11" t="s">
        <v>1060</v>
      </c>
      <c r="E266" s="11">
        <v>265.0</v>
      </c>
    </row>
    <row r="267">
      <c r="B267" s="76"/>
      <c r="D267" s="11" t="s">
        <v>1061</v>
      </c>
      <c r="E267" s="11">
        <v>266.0</v>
      </c>
    </row>
    <row r="268">
      <c r="B268" s="76"/>
      <c r="D268" s="11" t="s">
        <v>1062</v>
      </c>
      <c r="E268" s="11">
        <v>267.0</v>
      </c>
    </row>
    <row r="269">
      <c r="B269" s="76"/>
      <c r="D269" s="11" t="s">
        <v>1063</v>
      </c>
      <c r="E269" s="11">
        <v>268.0</v>
      </c>
    </row>
    <row r="270">
      <c r="B270" s="76"/>
      <c r="D270" s="11" t="s">
        <v>1064</v>
      </c>
      <c r="E270" s="11">
        <v>269.0</v>
      </c>
    </row>
    <row r="271">
      <c r="B271" s="76"/>
      <c r="D271" s="11" t="s">
        <v>1065</v>
      </c>
      <c r="E271" s="11">
        <v>270.0</v>
      </c>
    </row>
    <row r="272">
      <c r="B272" s="76"/>
      <c r="D272" s="11" t="s">
        <v>1066</v>
      </c>
      <c r="E272" s="11">
        <v>271.0</v>
      </c>
    </row>
    <row r="273">
      <c r="B273" s="76"/>
      <c r="D273" s="11" t="s">
        <v>1067</v>
      </c>
      <c r="E273" s="11">
        <v>272.0</v>
      </c>
    </row>
    <row r="274">
      <c r="B274" s="76"/>
      <c r="D274" s="11" t="s">
        <v>1068</v>
      </c>
      <c r="E274" s="11">
        <v>273.0</v>
      </c>
    </row>
    <row r="275">
      <c r="B275" s="76"/>
      <c r="D275" s="11" t="s">
        <v>1069</v>
      </c>
      <c r="E275" s="11">
        <v>274.0</v>
      </c>
    </row>
    <row r="276">
      <c r="B276" s="76"/>
      <c r="D276" s="11" t="s">
        <v>1070</v>
      </c>
      <c r="E276" s="11">
        <v>275.0</v>
      </c>
    </row>
    <row r="277">
      <c r="B277" s="76"/>
      <c r="D277" s="11" t="s">
        <v>1071</v>
      </c>
      <c r="E277" s="11">
        <v>276.0</v>
      </c>
    </row>
    <row r="278">
      <c r="B278" s="76"/>
      <c r="D278" s="11" t="s">
        <v>1072</v>
      </c>
      <c r="E278" s="11">
        <v>277.0</v>
      </c>
    </row>
    <row r="279">
      <c r="B279" s="76"/>
      <c r="D279" s="11" t="s">
        <v>1073</v>
      </c>
      <c r="E279" s="11">
        <v>278.0</v>
      </c>
    </row>
    <row r="280">
      <c r="B280" s="76"/>
      <c r="D280" s="11" t="s">
        <v>1074</v>
      </c>
      <c r="E280" s="11">
        <v>279.0</v>
      </c>
    </row>
    <row r="281">
      <c r="B281" s="76"/>
      <c r="D281" s="11" t="s">
        <v>1075</v>
      </c>
      <c r="E281" s="11">
        <v>280.0</v>
      </c>
    </row>
    <row r="282">
      <c r="B282" s="76"/>
      <c r="D282" s="11" t="s">
        <v>1076</v>
      </c>
      <c r="E282" s="11">
        <v>281.0</v>
      </c>
    </row>
    <row r="283">
      <c r="B283" s="76"/>
      <c r="D283" s="11" t="s">
        <v>1077</v>
      </c>
      <c r="E283" s="11">
        <v>282.0</v>
      </c>
    </row>
    <row r="284">
      <c r="B284" s="76"/>
      <c r="D284" s="11" t="s">
        <v>1078</v>
      </c>
      <c r="E284" s="11">
        <v>283.0</v>
      </c>
    </row>
    <row r="285">
      <c r="B285" s="76"/>
      <c r="D285" s="11" t="s">
        <v>1079</v>
      </c>
      <c r="E285" s="11">
        <v>284.0</v>
      </c>
    </row>
    <row r="286">
      <c r="B286" s="76"/>
      <c r="D286" s="11" t="s">
        <v>1080</v>
      </c>
      <c r="E286" s="11">
        <v>285.0</v>
      </c>
    </row>
    <row r="287">
      <c r="B287" s="76"/>
      <c r="D287" s="11" t="s">
        <v>1081</v>
      </c>
      <c r="E287" s="11">
        <v>286.0</v>
      </c>
    </row>
    <row r="288">
      <c r="B288" s="76"/>
      <c r="D288" s="11" t="s">
        <v>1082</v>
      </c>
      <c r="E288" s="11">
        <v>287.0</v>
      </c>
    </row>
    <row r="289">
      <c r="B289" s="76"/>
      <c r="D289" s="11" t="s">
        <v>1083</v>
      </c>
      <c r="E289" s="11">
        <v>288.0</v>
      </c>
    </row>
    <row r="290">
      <c r="B290" s="76"/>
      <c r="D290" s="11" t="s">
        <v>1084</v>
      </c>
      <c r="E290" s="11">
        <v>289.0</v>
      </c>
    </row>
    <row r="291">
      <c r="B291" s="76"/>
      <c r="D291" s="11" t="s">
        <v>1085</v>
      </c>
      <c r="E291" s="11">
        <v>290.0</v>
      </c>
    </row>
    <row r="292">
      <c r="B292" s="76"/>
      <c r="D292" s="11" t="s">
        <v>1086</v>
      </c>
      <c r="E292" s="11">
        <v>291.0</v>
      </c>
    </row>
    <row r="293">
      <c r="B293" s="76"/>
      <c r="D293" s="11" t="s">
        <v>1087</v>
      </c>
      <c r="E293" s="11">
        <v>292.0</v>
      </c>
    </row>
    <row r="294">
      <c r="B294" s="76"/>
      <c r="D294" s="11" t="s">
        <v>1088</v>
      </c>
      <c r="E294" s="11">
        <v>293.0</v>
      </c>
    </row>
    <row r="295">
      <c r="B295" s="76"/>
      <c r="D295" s="11" t="s">
        <v>1089</v>
      </c>
      <c r="E295" s="11">
        <v>294.0</v>
      </c>
    </row>
    <row r="296">
      <c r="B296" s="76"/>
      <c r="D296" s="11" t="s">
        <v>1090</v>
      </c>
      <c r="E296" s="11">
        <v>295.0</v>
      </c>
    </row>
    <row r="297">
      <c r="B297" s="76"/>
      <c r="D297" s="11" t="s">
        <v>1091</v>
      </c>
      <c r="E297" s="11">
        <v>296.0</v>
      </c>
    </row>
    <row r="298">
      <c r="B298" s="76"/>
      <c r="D298" s="11" t="s">
        <v>1092</v>
      </c>
      <c r="E298" s="11">
        <v>297.0</v>
      </c>
    </row>
    <row r="299">
      <c r="B299" s="76"/>
      <c r="D299" s="11" t="s">
        <v>1093</v>
      </c>
      <c r="E299" s="11">
        <v>298.0</v>
      </c>
    </row>
    <row r="300">
      <c r="B300" s="76"/>
      <c r="D300" s="11" t="s">
        <v>1094</v>
      </c>
      <c r="E300" s="11">
        <v>299.0</v>
      </c>
    </row>
    <row r="301">
      <c r="B301" s="76"/>
      <c r="D301" s="11" t="s">
        <v>1095</v>
      </c>
      <c r="E301" s="11">
        <v>300.0</v>
      </c>
    </row>
    <row r="302">
      <c r="B302" s="76"/>
      <c r="D302" s="11" t="s">
        <v>1096</v>
      </c>
      <c r="E302" s="11">
        <v>301.0</v>
      </c>
    </row>
    <row r="303">
      <c r="B303" s="76"/>
      <c r="D303" s="11" t="s">
        <v>1097</v>
      </c>
      <c r="E303" s="11">
        <v>302.0</v>
      </c>
    </row>
    <row r="304">
      <c r="B304" s="76"/>
      <c r="D304" s="11" t="s">
        <v>1098</v>
      </c>
      <c r="E304" s="11">
        <v>303.0</v>
      </c>
    </row>
    <row r="305">
      <c r="B305" s="76"/>
      <c r="D305" s="11" t="s">
        <v>1099</v>
      </c>
      <c r="E305" s="11">
        <v>304.0</v>
      </c>
    </row>
    <row r="306">
      <c r="B306" s="76"/>
      <c r="D306" s="11" t="s">
        <v>1100</v>
      </c>
      <c r="E306" s="11">
        <v>305.0</v>
      </c>
    </row>
    <row r="307">
      <c r="B307" s="76"/>
      <c r="D307" s="11" t="s">
        <v>1101</v>
      </c>
      <c r="E307" s="11">
        <v>306.0</v>
      </c>
    </row>
    <row r="308">
      <c r="B308" s="76"/>
      <c r="D308" s="11" t="s">
        <v>1102</v>
      </c>
      <c r="E308" s="11">
        <v>307.0</v>
      </c>
    </row>
    <row r="309">
      <c r="B309" s="76"/>
      <c r="D309" s="11" t="s">
        <v>1103</v>
      </c>
      <c r="E309" s="11">
        <v>308.0</v>
      </c>
    </row>
    <row r="310">
      <c r="B310" s="76"/>
      <c r="D310" s="11" t="s">
        <v>1104</v>
      </c>
      <c r="E310" s="11">
        <v>309.0</v>
      </c>
    </row>
    <row r="311">
      <c r="B311" s="76"/>
      <c r="D311" s="11" t="s">
        <v>1105</v>
      </c>
      <c r="E311" s="11">
        <v>310.0</v>
      </c>
    </row>
    <row r="312">
      <c r="B312" s="76"/>
      <c r="D312" s="11" t="s">
        <v>1106</v>
      </c>
      <c r="E312" s="11">
        <v>311.0</v>
      </c>
    </row>
    <row r="313">
      <c r="B313" s="76"/>
      <c r="D313" s="11" t="s">
        <v>1107</v>
      </c>
      <c r="E313" s="11">
        <v>312.0</v>
      </c>
    </row>
    <row r="314">
      <c r="B314" s="76"/>
      <c r="D314" s="11" t="s">
        <v>1108</v>
      </c>
      <c r="E314" s="11">
        <v>313.0</v>
      </c>
    </row>
    <row r="315">
      <c r="B315" s="76"/>
      <c r="D315" s="11" t="s">
        <v>1109</v>
      </c>
      <c r="E315" s="11">
        <v>314.0</v>
      </c>
    </row>
    <row r="316">
      <c r="B316" s="76"/>
      <c r="D316" s="11" t="s">
        <v>1110</v>
      </c>
      <c r="E316" s="11">
        <v>315.0</v>
      </c>
    </row>
    <row r="317">
      <c r="B317" s="76"/>
      <c r="D317" s="11" t="s">
        <v>1111</v>
      </c>
      <c r="E317" s="11">
        <v>316.0</v>
      </c>
    </row>
    <row r="318">
      <c r="B318" s="76"/>
      <c r="D318" s="11" t="s">
        <v>1112</v>
      </c>
      <c r="E318" s="11">
        <v>317.0</v>
      </c>
    </row>
    <row r="319">
      <c r="B319" s="76"/>
      <c r="D319" s="11" t="s">
        <v>1113</v>
      </c>
      <c r="E319" s="11">
        <v>318.0</v>
      </c>
    </row>
    <row r="320">
      <c r="B320" s="76"/>
      <c r="D320" s="11" t="s">
        <v>1114</v>
      </c>
      <c r="E320" s="11">
        <v>319.0</v>
      </c>
    </row>
    <row r="321">
      <c r="B321" s="76"/>
      <c r="D321" s="11" t="s">
        <v>1115</v>
      </c>
      <c r="E321" s="11">
        <v>320.0</v>
      </c>
    </row>
    <row r="322">
      <c r="B322" s="76"/>
      <c r="D322" s="11" t="s">
        <v>1116</v>
      </c>
      <c r="E322" s="11">
        <v>321.0</v>
      </c>
    </row>
    <row r="323">
      <c r="B323" s="76"/>
      <c r="D323" s="11" t="s">
        <v>1117</v>
      </c>
      <c r="E323" s="11">
        <v>322.0</v>
      </c>
    </row>
    <row r="324">
      <c r="B324" s="76"/>
      <c r="D324" s="11" t="s">
        <v>1118</v>
      </c>
      <c r="E324" s="11">
        <v>323.0</v>
      </c>
    </row>
    <row r="325">
      <c r="B325" s="76"/>
      <c r="D325" s="11" t="s">
        <v>1119</v>
      </c>
      <c r="E325" s="11">
        <v>324.0</v>
      </c>
    </row>
    <row r="326">
      <c r="B326" s="76"/>
      <c r="D326" s="11" t="s">
        <v>1120</v>
      </c>
      <c r="E326" s="11">
        <v>325.0</v>
      </c>
    </row>
    <row r="327">
      <c r="B327" s="76"/>
      <c r="D327" s="11" t="s">
        <v>1121</v>
      </c>
      <c r="E327" s="11">
        <v>326.0</v>
      </c>
    </row>
    <row r="328">
      <c r="B328" s="76"/>
      <c r="D328" s="11" t="s">
        <v>1122</v>
      </c>
      <c r="E328" s="11">
        <v>327.0</v>
      </c>
    </row>
    <row r="329">
      <c r="B329" s="76"/>
      <c r="D329" s="11" t="s">
        <v>1123</v>
      </c>
      <c r="E329" s="11">
        <v>328.0</v>
      </c>
    </row>
    <row r="330">
      <c r="B330" s="76"/>
      <c r="D330" s="11" t="s">
        <v>1124</v>
      </c>
      <c r="E330" s="11">
        <v>329.0</v>
      </c>
    </row>
    <row r="331">
      <c r="B331" s="76"/>
      <c r="D331" s="11" t="s">
        <v>1125</v>
      </c>
      <c r="E331" s="11">
        <v>330.0</v>
      </c>
    </row>
    <row r="332">
      <c r="B332" s="76"/>
      <c r="D332" s="11" t="s">
        <v>1126</v>
      </c>
      <c r="E332" s="11">
        <v>331.0</v>
      </c>
    </row>
    <row r="333">
      <c r="B333" s="76"/>
      <c r="D333" s="11" t="s">
        <v>1127</v>
      </c>
      <c r="E333" s="11">
        <v>332.0</v>
      </c>
    </row>
    <row r="334">
      <c r="B334" s="76"/>
      <c r="D334" s="11" t="s">
        <v>1128</v>
      </c>
      <c r="E334" s="11">
        <v>333.0</v>
      </c>
    </row>
    <row r="335">
      <c r="B335" s="76"/>
      <c r="D335" s="11" t="s">
        <v>1129</v>
      </c>
      <c r="E335" s="11">
        <v>334.0</v>
      </c>
    </row>
    <row r="336">
      <c r="B336" s="76"/>
      <c r="D336" s="11" t="s">
        <v>1130</v>
      </c>
      <c r="E336" s="11">
        <v>335.0</v>
      </c>
    </row>
    <row r="337">
      <c r="B337" s="76"/>
      <c r="D337" s="11" t="s">
        <v>1131</v>
      </c>
      <c r="E337" s="11">
        <v>336.0</v>
      </c>
    </row>
    <row r="338">
      <c r="B338" s="76"/>
      <c r="D338" s="11" t="s">
        <v>1132</v>
      </c>
      <c r="E338" s="11">
        <v>337.0</v>
      </c>
    </row>
    <row r="339">
      <c r="B339" s="76"/>
      <c r="D339" s="11" t="s">
        <v>1133</v>
      </c>
      <c r="E339" s="11">
        <v>338.0</v>
      </c>
    </row>
    <row r="340">
      <c r="B340" s="76"/>
      <c r="D340" s="11" t="s">
        <v>1134</v>
      </c>
      <c r="E340" s="11">
        <v>339.0</v>
      </c>
    </row>
    <row r="341">
      <c r="B341" s="76"/>
      <c r="D341" s="11" t="s">
        <v>1135</v>
      </c>
      <c r="E341" s="11">
        <v>340.0</v>
      </c>
    </row>
    <row r="342">
      <c r="B342" s="76"/>
      <c r="D342" s="11" t="s">
        <v>1136</v>
      </c>
      <c r="E342" s="11">
        <v>341.0</v>
      </c>
    </row>
    <row r="343">
      <c r="B343" s="76"/>
      <c r="D343" s="11" t="s">
        <v>1137</v>
      </c>
      <c r="E343" s="11">
        <v>342.0</v>
      </c>
    </row>
    <row r="344">
      <c r="B344" s="76"/>
      <c r="D344" s="11" t="s">
        <v>1138</v>
      </c>
      <c r="E344" s="11">
        <v>343.0</v>
      </c>
    </row>
    <row r="345">
      <c r="B345" s="76"/>
      <c r="D345" s="11" t="s">
        <v>1139</v>
      </c>
      <c r="E345" s="11">
        <v>344.0</v>
      </c>
    </row>
    <row r="346">
      <c r="B346" s="76"/>
      <c r="D346" s="11" t="s">
        <v>1140</v>
      </c>
      <c r="E346" s="11">
        <v>345.0</v>
      </c>
    </row>
    <row r="347">
      <c r="B347" s="76"/>
      <c r="D347" s="11" t="s">
        <v>1141</v>
      </c>
      <c r="E347" s="11">
        <v>346.0</v>
      </c>
    </row>
    <row r="348">
      <c r="B348" s="76"/>
      <c r="D348" s="11" t="s">
        <v>1142</v>
      </c>
      <c r="E348" s="11">
        <v>347.0</v>
      </c>
    </row>
    <row r="349">
      <c r="B349" s="76"/>
      <c r="D349" s="11" t="s">
        <v>1143</v>
      </c>
      <c r="E349" s="11">
        <v>348.0</v>
      </c>
    </row>
    <row r="350">
      <c r="B350" s="76"/>
      <c r="D350" s="11" t="s">
        <v>1144</v>
      </c>
      <c r="E350" s="11">
        <v>349.0</v>
      </c>
    </row>
    <row r="351">
      <c r="B351" s="76"/>
      <c r="D351" s="11" t="s">
        <v>1145</v>
      </c>
      <c r="E351" s="11">
        <v>350.0</v>
      </c>
    </row>
    <row r="352">
      <c r="B352" s="76"/>
      <c r="D352" s="11" t="s">
        <v>1146</v>
      </c>
      <c r="E352" s="11">
        <v>351.0</v>
      </c>
    </row>
    <row r="353">
      <c r="B353" s="76"/>
      <c r="D353" s="11" t="s">
        <v>1147</v>
      </c>
      <c r="E353" s="11">
        <v>352.0</v>
      </c>
    </row>
    <row r="354">
      <c r="B354" s="76"/>
      <c r="D354" s="11" t="s">
        <v>1148</v>
      </c>
      <c r="E354" s="11">
        <v>353.0</v>
      </c>
    </row>
    <row r="355">
      <c r="B355" s="76"/>
      <c r="D355" s="11" t="s">
        <v>1149</v>
      </c>
      <c r="E355" s="11">
        <v>354.0</v>
      </c>
    </row>
    <row r="356">
      <c r="B356" s="76"/>
      <c r="D356" s="11" t="s">
        <v>1150</v>
      </c>
      <c r="E356" s="11">
        <v>355.0</v>
      </c>
    </row>
    <row r="357">
      <c r="B357" s="76"/>
      <c r="D357" s="11" t="s">
        <v>1151</v>
      </c>
      <c r="E357" s="11">
        <v>356.0</v>
      </c>
    </row>
    <row r="358">
      <c r="B358" s="76"/>
      <c r="D358" s="11" t="s">
        <v>1152</v>
      </c>
      <c r="E358" s="11">
        <v>357.0</v>
      </c>
    </row>
    <row r="359">
      <c r="B359" s="76"/>
      <c r="D359" s="11" t="s">
        <v>1153</v>
      </c>
      <c r="E359" s="11">
        <v>358.0</v>
      </c>
    </row>
    <row r="360">
      <c r="B360" s="76"/>
      <c r="D360" s="11" t="s">
        <v>1154</v>
      </c>
      <c r="E360" s="11">
        <v>359.0</v>
      </c>
    </row>
    <row r="361">
      <c r="B361" s="76"/>
      <c r="D361" s="11" t="s">
        <v>1155</v>
      </c>
      <c r="E361" s="11">
        <v>360.0</v>
      </c>
    </row>
    <row r="362">
      <c r="B362" s="76"/>
      <c r="D362" s="11" t="s">
        <v>1156</v>
      </c>
      <c r="E362" s="11">
        <v>361.0</v>
      </c>
    </row>
    <row r="363">
      <c r="B363" s="76"/>
      <c r="D363" s="11" t="s">
        <v>1157</v>
      </c>
      <c r="E363" s="11">
        <v>362.0</v>
      </c>
    </row>
    <row r="364">
      <c r="B364" s="76"/>
      <c r="D364" s="11" t="s">
        <v>1158</v>
      </c>
      <c r="E364" s="11">
        <v>363.0</v>
      </c>
    </row>
    <row r="365">
      <c r="B365" s="76"/>
      <c r="D365" s="11" t="s">
        <v>1159</v>
      </c>
      <c r="E365" s="11">
        <v>364.0</v>
      </c>
    </row>
    <row r="366">
      <c r="B366" s="76"/>
      <c r="D366" s="11" t="s">
        <v>1160</v>
      </c>
      <c r="E366" s="11">
        <v>365.0</v>
      </c>
    </row>
    <row r="367">
      <c r="B367" s="76"/>
      <c r="D367" s="11" t="s">
        <v>1161</v>
      </c>
      <c r="E367" s="11">
        <v>366.0</v>
      </c>
    </row>
    <row r="368">
      <c r="B368" s="76"/>
      <c r="D368" s="11" t="s">
        <v>1162</v>
      </c>
      <c r="E368" s="11">
        <v>367.0</v>
      </c>
    </row>
    <row r="369">
      <c r="B369" s="76"/>
      <c r="D369" s="11" t="s">
        <v>1163</v>
      </c>
      <c r="E369" s="11">
        <v>368.0</v>
      </c>
    </row>
    <row r="370">
      <c r="B370" s="76"/>
      <c r="D370" s="11" t="s">
        <v>1164</v>
      </c>
      <c r="E370" s="11">
        <v>369.0</v>
      </c>
    </row>
    <row r="371">
      <c r="B371" s="76"/>
      <c r="D371" s="11" t="s">
        <v>1165</v>
      </c>
      <c r="E371" s="11">
        <v>370.0</v>
      </c>
    </row>
    <row r="372">
      <c r="B372" s="76"/>
      <c r="D372" s="11" t="s">
        <v>1166</v>
      </c>
      <c r="E372" s="11">
        <v>371.0</v>
      </c>
    </row>
    <row r="373">
      <c r="B373" s="76"/>
      <c r="D373" s="11" t="s">
        <v>1167</v>
      </c>
      <c r="E373" s="11">
        <v>372.0</v>
      </c>
    </row>
    <row r="374">
      <c r="B374" s="76"/>
      <c r="D374" s="11" t="s">
        <v>1168</v>
      </c>
      <c r="E374" s="11">
        <v>373.0</v>
      </c>
    </row>
    <row r="375">
      <c r="B375" s="76"/>
      <c r="D375" s="11" t="s">
        <v>1169</v>
      </c>
      <c r="E375" s="11">
        <v>374.0</v>
      </c>
    </row>
    <row r="376">
      <c r="B376" s="76"/>
      <c r="D376" s="11" t="s">
        <v>1170</v>
      </c>
      <c r="E376" s="11">
        <v>375.0</v>
      </c>
    </row>
    <row r="377">
      <c r="B377" s="76"/>
      <c r="D377" s="11" t="s">
        <v>1171</v>
      </c>
      <c r="E377" s="11">
        <v>376.0</v>
      </c>
    </row>
    <row r="378">
      <c r="B378" s="76"/>
      <c r="D378" s="11" t="s">
        <v>1172</v>
      </c>
      <c r="E378" s="11">
        <v>377.0</v>
      </c>
    </row>
    <row r="379">
      <c r="B379" s="76"/>
      <c r="D379" s="11" t="s">
        <v>1173</v>
      </c>
      <c r="E379" s="11">
        <v>378.0</v>
      </c>
    </row>
    <row r="380">
      <c r="B380" s="76"/>
      <c r="D380" s="11" t="s">
        <v>1174</v>
      </c>
      <c r="E380" s="11">
        <v>379.0</v>
      </c>
    </row>
    <row r="381">
      <c r="B381" s="76"/>
      <c r="D381" s="11" t="s">
        <v>1175</v>
      </c>
      <c r="E381" s="11">
        <v>380.0</v>
      </c>
    </row>
    <row r="382">
      <c r="B382" s="76"/>
      <c r="D382" s="11" t="s">
        <v>1176</v>
      </c>
      <c r="E382" s="11">
        <v>381.0</v>
      </c>
    </row>
    <row r="383">
      <c r="B383" s="76"/>
      <c r="D383" s="11" t="s">
        <v>1177</v>
      </c>
      <c r="E383" s="11">
        <v>382.0</v>
      </c>
    </row>
    <row r="384">
      <c r="B384" s="76"/>
      <c r="D384" s="11" t="s">
        <v>1178</v>
      </c>
      <c r="E384" s="11">
        <v>383.0</v>
      </c>
    </row>
    <row r="385">
      <c r="B385" s="76"/>
      <c r="D385" s="11" t="s">
        <v>1179</v>
      </c>
      <c r="E385" s="11">
        <v>384.0</v>
      </c>
    </row>
    <row r="386">
      <c r="B386" s="76"/>
      <c r="D386" s="11" t="s">
        <v>1180</v>
      </c>
      <c r="E386" s="11">
        <v>385.0</v>
      </c>
    </row>
    <row r="387">
      <c r="B387" s="76"/>
      <c r="D387" s="11" t="s">
        <v>1181</v>
      </c>
      <c r="E387" s="11">
        <v>386.0</v>
      </c>
    </row>
    <row r="388">
      <c r="B388" s="76"/>
      <c r="D388" s="11" t="s">
        <v>1182</v>
      </c>
      <c r="E388" s="11">
        <v>387.0</v>
      </c>
    </row>
    <row r="389">
      <c r="B389" s="76"/>
      <c r="D389" s="11" t="s">
        <v>1183</v>
      </c>
      <c r="E389" s="11">
        <v>388.0</v>
      </c>
    </row>
    <row r="390">
      <c r="B390" s="76"/>
      <c r="D390" s="11" t="s">
        <v>1184</v>
      </c>
      <c r="E390" s="11">
        <v>389.0</v>
      </c>
    </row>
    <row r="391">
      <c r="B391" s="76"/>
      <c r="D391" s="11" t="s">
        <v>1185</v>
      </c>
      <c r="E391" s="11">
        <v>390.0</v>
      </c>
    </row>
    <row r="392">
      <c r="B392" s="76"/>
      <c r="D392" s="11" t="s">
        <v>1186</v>
      </c>
      <c r="E392" s="11">
        <v>391.0</v>
      </c>
    </row>
    <row r="393">
      <c r="B393" s="76"/>
      <c r="D393" s="11" t="s">
        <v>1187</v>
      </c>
      <c r="E393" s="11">
        <v>392.0</v>
      </c>
    </row>
    <row r="394">
      <c r="B394" s="76"/>
      <c r="D394" s="11" t="s">
        <v>1188</v>
      </c>
      <c r="E394" s="11">
        <v>393.0</v>
      </c>
    </row>
    <row r="395">
      <c r="B395" s="76"/>
      <c r="D395" s="11" t="s">
        <v>1189</v>
      </c>
      <c r="E395" s="11">
        <v>394.0</v>
      </c>
    </row>
    <row r="396">
      <c r="B396" s="76"/>
      <c r="D396" s="11" t="s">
        <v>1190</v>
      </c>
      <c r="E396" s="11">
        <v>395.0</v>
      </c>
    </row>
    <row r="397">
      <c r="B397" s="76"/>
      <c r="D397" s="11" t="s">
        <v>1191</v>
      </c>
      <c r="E397" s="11">
        <v>396.0</v>
      </c>
    </row>
    <row r="398">
      <c r="B398" s="76"/>
      <c r="D398" s="11" t="s">
        <v>1192</v>
      </c>
      <c r="E398" s="11">
        <v>397.0</v>
      </c>
    </row>
    <row r="399">
      <c r="B399" s="76"/>
      <c r="D399" s="11" t="s">
        <v>1193</v>
      </c>
      <c r="E399" s="11">
        <v>398.0</v>
      </c>
    </row>
    <row r="400">
      <c r="B400" s="76"/>
      <c r="D400" s="11" t="s">
        <v>1194</v>
      </c>
      <c r="E400" s="11">
        <v>399.0</v>
      </c>
    </row>
    <row r="401">
      <c r="B401" s="76"/>
      <c r="D401" s="11" t="s">
        <v>1195</v>
      </c>
      <c r="E401" s="11">
        <v>400.0</v>
      </c>
    </row>
    <row r="402">
      <c r="B402" s="76"/>
      <c r="D402" s="11" t="s">
        <v>1196</v>
      </c>
      <c r="E402" s="11">
        <v>401.0</v>
      </c>
    </row>
    <row r="403">
      <c r="B403" s="76"/>
      <c r="D403" s="11" t="s">
        <v>1197</v>
      </c>
      <c r="E403" s="11">
        <v>402.0</v>
      </c>
    </row>
    <row r="404">
      <c r="B404" s="76"/>
      <c r="D404" s="11" t="s">
        <v>1198</v>
      </c>
      <c r="E404" s="11">
        <v>403.0</v>
      </c>
    </row>
    <row r="405">
      <c r="B405" s="76"/>
      <c r="D405" s="11" t="s">
        <v>1199</v>
      </c>
      <c r="E405" s="11">
        <v>404.0</v>
      </c>
    </row>
    <row r="406">
      <c r="B406" s="76"/>
      <c r="D406" s="11" t="s">
        <v>1200</v>
      </c>
      <c r="E406" s="11">
        <v>405.0</v>
      </c>
    </row>
    <row r="407">
      <c r="B407" s="76"/>
      <c r="D407" s="11" t="s">
        <v>1201</v>
      </c>
      <c r="E407" s="11">
        <v>406.0</v>
      </c>
    </row>
    <row r="408">
      <c r="B408" s="76"/>
      <c r="D408" s="11" t="s">
        <v>1202</v>
      </c>
      <c r="E408" s="11">
        <v>407.0</v>
      </c>
    </row>
    <row r="409">
      <c r="B409" s="76"/>
      <c r="D409" s="11" t="s">
        <v>1203</v>
      </c>
      <c r="E409" s="11">
        <v>408.0</v>
      </c>
    </row>
    <row r="410">
      <c r="B410" s="76"/>
      <c r="D410" s="11" t="s">
        <v>1204</v>
      </c>
      <c r="E410" s="11">
        <v>409.0</v>
      </c>
    </row>
    <row r="411">
      <c r="B411" s="76"/>
      <c r="D411" s="11" t="s">
        <v>1205</v>
      </c>
      <c r="E411" s="11">
        <v>410.0</v>
      </c>
    </row>
    <row r="412">
      <c r="B412" s="76"/>
      <c r="D412" s="11" t="s">
        <v>1206</v>
      </c>
      <c r="E412" s="11">
        <v>411.0</v>
      </c>
    </row>
    <row r="413">
      <c r="B413" s="76"/>
      <c r="D413" s="11" t="s">
        <v>1207</v>
      </c>
      <c r="E413" s="11">
        <v>412.0</v>
      </c>
    </row>
    <row r="414">
      <c r="B414" s="76"/>
      <c r="D414" s="11" t="s">
        <v>1208</v>
      </c>
      <c r="E414" s="11">
        <v>413.0</v>
      </c>
    </row>
    <row r="415">
      <c r="B415" s="76"/>
      <c r="D415" s="11" t="s">
        <v>1209</v>
      </c>
      <c r="E415" s="11">
        <v>414.0</v>
      </c>
    </row>
    <row r="416">
      <c r="B416" s="76"/>
      <c r="D416" s="11" t="s">
        <v>1210</v>
      </c>
      <c r="E416" s="11">
        <v>415.0</v>
      </c>
    </row>
    <row r="417">
      <c r="B417" s="76"/>
      <c r="D417" s="11" t="s">
        <v>1211</v>
      </c>
      <c r="E417" s="11">
        <v>416.0</v>
      </c>
    </row>
    <row r="418">
      <c r="B418" s="76"/>
      <c r="D418" s="11" t="s">
        <v>1212</v>
      </c>
      <c r="E418" s="11">
        <v>417.0</v>
      </c>
    </row>
    <row r="419">
      <c r="B419" s="76"/>
      <c r="D419" s="11" t="s">
        <v>1213</v>
      </c>
      <c r="E419" s="11">
        <v>418.0</v>
      </c>
    </row>
    <row r="420">
      <c r="B420" s="76"/>
      <c r="D420" s="11" t="s">
        <v>1214</v>
      </c>
      <c r="E420" s="11">
        <v>419.0</v>
      </c>
    </row>
    <row r="421">
      <c r="B421" s="76"/>
      <c r="D421" s="11" t="s">
        <v>1215</v>
      </c>
      <c r="E421" s="11">
        <v>420.0</v>
      </c>
    </row>
    <row r="422">
      <c r="B422" s="76"/>
      <c r="D422" s="11" t="s">
        <v>1216</v>
      </c>
      <c r="E422" s="11">
        <v>421.0</v>
      </c>
    </row>
    <row r="423">
      <c r="B423" s="76"/>
      <c r="D423" s="11" t="s">
        <v>1217</v>
      </c>
      <c r="E423" s="11">
        <v>422.0</v>
      </c>
    </row>
    <row r="424">
      <c r="B424" s="76"/>
      <c r="D424" s="11" t="s">
        <v>1218</v>
      </c>
      <c r="E424" s="11">
        <v>423.0</v>
      </c>
    </row>
    <row r="425">
      <c r="B425" s="76"/>
      <c r="D425" s="11" t="s">
        <v>1219</v>
      </c>
      <c r="E425" s="11">
        <v>424.0</v>
      </c>
    </row>
    <row r="426">
      <c r="B426" s="76"/>
      <c r="D426" s="11" t="s">
        <v>1220</v>
      </c>
      <c r="E426" s="11">
        <v>425.0</v>
      </c>
    </row>
    <row r="427">
      <c r="B427" s="76"/>
      <c r="D427" s="11" t="s">
        <v>1221</v>
      </c>
      <c r="E427" s="11">
        <v>426.0</v>
      </c>
    </row>
    <row r="428">
      <c r="B428" s="76"/>
      <c r="D428" s="11" t="s">
        <v>1222</v>
      </c>
      <c r="E428" s="11">
        <v>427.0</v>
      </c>
    </row>
    <row r="429">
      <c r="B429" s="76"/>
      <c r="D429" s="11" t="s">
        <v>1223</v>
      </c>
      <c r="E429" s="11">
        <v>428.0</v>
      </c>
    </row>
    <row r="430">
      <c r="B430" s="76"/>
      <c r="D430" s="11" t="s">
        <v>1224</v>
      </c>
      <c r="E430" s="11">
        <v>429.0</v>
      </c>
    </row>
    <row r="431">
      <c r="B431" s="76"/>
      <c r="D431" s="11" t="s">
        <v>1225</v>
      </c>
      <c r="E431" s="11">
        <v>430.0</v>
      </c>
    </row>
    <row r="432">
      <c r="B432" s="76"/>
      <c r="D432" s="11" t="s">
        <v>1226</v>
      </c>
      <c r="E432" s="11">
        <v>431.0</v>
      </c>
    </row>
    <row r="433">
      <c r="B433" s="76"/>
      <c r="D433" s="11" t="s">
        <v>1227</v>
      </c>
      <c r="E433" s="11">
        <v>432.0</v>
      </c>
    </row>
    <row r="434">
      <c r="B434" s="76"/>
      <c r="D434" s="11" t="s">
        <v>1228</v>
      </c>
      <c r="E434" s="11">
        <v>433.0</v>
      </c>
    </row>
    <row r="435">
      <c r="B435" s="76"/>
      <c r="D435" s="11" t="s">
        <v>1229</v>
      </c>
      <c r="E435" s="11">
        <v>434.0</v>
      </c>
    </row>
    <row r="436">
      <c r="B436" s="76"/>
      <c r="D436" s="11" t="s">
        <v>1230</v>
      </c>
      <c r="E436" s="11">
        <v>435.0</v>
      </c>
    </row>
    <row r="437">
      <c r="B437" s="76"/>
      <c r="D437" s="11" t="s">
        <v>1231</v>
      </c>
      <c r="E437" s="11">
        <v>436.0</v>
      </c>
    </row>
    <row r="438">
      <c r="B438" s="76"/>
      <c r="D438" s="11" t="s">
        <v>1232</v>
      </c>
      <c r="E438" s="11">
        <v>437.0</v>
      </c>
    </row>
    <row r="439">
      <c r="B439" s="76"/>
      <c r="D439" s="11" t="s">
        <v>1233</v>
      </c>
      <c r="E439" s="11">
        <v>438.0</v>
      </c>
    </row>
    <row r="440">
      <c r="B440" s="76"/>
      <c r="D440" s="11" t="s">
        <v>1234</v>
      </c>
      <c r="E440" s="11">
        <v>439.0</v>
      </c>
    </row>
    <row r="441">
      <c r="B441" s="76"/>
      <c r="D441" s="11" t="s">
        <v>1235</v>
      </c>
      <c r="E441" s="11">
        <v>440.0</v>
      </c>
    </row>
    <row r="442">
      <c r="B442" s="76"/>
      <c r="D442" s="11" t="s">
        <v>1236</v>
      </c>
      <c r="E442" s="11">
        <v>441.0</v>
      </c>
    </row>
    <row r="443">
      <c r="B443" s="76"/>
      <c r="D443" s="11" t="s">
        <v>1237</v>
      </c>
      <c r="E443" s="11">
        <v>442.0</v>
      </c>
    </row>
    <row r="444">
      <c r="B444" s="76"/>
      <c r="D444" s="11" t="s">
        <v>1238</v>
      </c>
      <c r="E444" s="11">
        <v>443.0</v>
      </c>
    </row>
    <row r="445">
      <c r="B445" s="76"/>
      <c r="D445" s="11" t="s">
        <v>1239</v>
      </c>
      <c r="E445" s="11">
        <v>444.0</v>
      </c>
    </row>
    <row r="446">
      <c r="B446" s="76"/>
      <c r="D446" s="11" t="s">
        <v>1240</v>
      </c>
      <c r="E446" s="11">
        <v>445.0</v>
      </c>
    </row>
    <row r="447">
      <c r="B447" s="76"/>
      <c r="D447" s="11" t="s">
        <v>1241</v>
      </c>
      <c r="E447" s="11">
        <v>446.0</v>
      </c>
    </row>
    <row r="448">
      <c r="B448" s="76"/>
      <c r="D448" s="11" t="s">
        <v>1242</v>
      </c>
      <c r="E448" s="11">
        <v>447.0</v>
      </c>
    </row>
    <row r="449">
      <c r="B449" s="76"/>
      <c r="D449" s="11" t="s">
        <v>1243</v>
      </c>
      <c r="E449" s="11">
        <v>448.0</v>
      </c>
    </row>
    <row r="450">
      <c r="B450" s="76"/>
      <c r="D450" s="11" t="s">
        <v>1244</v>
      </c>
      <c r="E450" s="11">
        <v>449.0</v>
      </c>
    </row>
    <row r="451">
      <c r="B451" s="76"/>
      <c r="D451" s="11" t="s">
        <v>1245</v>
      </c>
      <c r="E451" s="11">
        <v>450.0</v>
      </c>
    </row>
    <row r="452">
      <c r="B452" s="76"/>
      <c r="D452" s="11" t="s">
        <v>1246</v>
      </c>
      <c r="E452" s="11">
        <v>451.0</v>
      </c>
    </row>
    <row r="453">
      <c r="B453" s="76"/>
      <c r="D453" s="11" t="s">
        <v>1247</v>
      </c>
      <c r="E453" s="11">
        <v>452.0</v>
      </c>
    </row>
    <row r="454">
      <c r="B454" s="76"/>
      <c r="D454" s="11" t="s">
        <v>1248</v>
      </c>
      <c r="E454" s="11">
        <v>453.0</v>
      </c>
    </row>
    <row r="455">
      <c r="B455" s="76"/>
      <c r="D455" s="11" t="s">
        <v>1249</v>
      </c>
      <c r="E455" s="11">
        <v>454.0</v>
      </c>
    </row>
    <row r="456">
      <c r="B456" s="76"/>
      <c r="D456" s="11" t="s">
        <v>1250</v>
      </c>
      <c r="E456" s="11">
        <v>455.0</v>
      </c>
    </row>
    <row r="457">
      <c r="B457" s="76"/>
      <c r="D457" s="11" t="s">
        <v>1251</v>
      </c>
      <c r="E457" s="11">
        <v>456.0</v>
      </c>
    </row>
    <row r="458">
      <c r="B458" s="76"/>
      <c r="D458" s="11" t="s">
        <v>1252</v>
      </c>
      <c r="E458" s="11">
        <v>457.0</v>
      </c>
    </row>
    <row r="459">
      <c r="B459" s="76"/>
      <c r="D459" s="11" t="s">
        <v>1253</v>
      </c>
      <c r="E459" s="11">
        <v>458.0</v>
      </c>
    </row>
    <row r="460">
      <c r="B460" s="76"/>
      <c r="D460" s="11" t="s">
        <v>1254</v>
      </c>
      <c r="E460" s="11">
        <v>459.0</v>
      </c>
    </row>
    <row r="461">
      <c r="B461" s="76"/>
      <c r="D461" s="11" t="s">
        <v>1255</v>
      </c>
      <c r="E461" s="11">
        <v>460.0</v>
      </c>
    </row>
    <row r="462">
      <c r="B462" s="76"/>
      <c r="D462" s="11" t="s">
        <v>1256</v>
      </c>
      <c r="E462" s="11">
        <v>461.0</v>
      </c>
    </row>
    <row r="463">
      <c r="B463" s="76"/>
      <c r="D463" s="11" t="s">
        <v>1257</v>
      </c>
      <c r="E463" s="11">
        <v>462.0</v>
      </c>
    </row>
    <row r="464">
      <c r="B464" s="76"/>
      <c r="D464" s="11" t="s">
        <v>1258</v>
      </c>
      <c r="E464" s="11">
        <v>463.0</v>
      </c>
    </row>
    <row r="465">
      <c r="B465" s="76"/>
      <c r="D465" s="11" t="s">
        <v>1259</v>
      </c>
      <c r="E465" s="11">
        <v>464.0</v>
      </c>
    </row>
    <row r="466">
      <c r="B466" s="76"/>
      <c r="D466" s="11" t="s">
        <v>1260</v>
      </c>
      <c r="E466" s="11">
        <v>465.0</v>
      </c>
    </row>
    <row r="467">
      <c r="B467" s="76"/>
      <c r="D467" s="11" t="s">
        <v>1261</v>
      </c>
      <c r="E467" s="11">
        <v>466.0</v>
      </c>
    </row>
    <row r="468">
      <c r="B468" s="76"/>
      <c r="D468" s="11" t="s">
        <v>1262</v>
      </c>
      <c r="E468" s="11">
        <v>467.0</v>
      </c>
    </row>
    <row r="469">
      <c r="B469" s="76"/>
      <c r="D469" s="11" t="s">
        <v>1263</v>
      </c>
      <c r="E469" s="11">
        <v>468.0</v>
      </c>
    </row>
    <row r="470">
      <c r="B470" s="76"/>
      <c r="D470" s="11" t="s">
        <v>1264</v>
      </c>
      <c r="E470" s="11">
        <v>469.0</v>
      </c>
    </row>
    <row r="471">
      <c r="B471" s="76"/>
      <c r="D471" s="11" t="s">
        <v>1265</v>
      </c>
      <c r="E471" s="11">
        <v>470.0</v>
      </c>
    </row>
    <row r="472">
      <c r="B472" s="76"/>
      <c r="D472" s="11" t="s">
        <v>1266</v>
      </c>
      <c r="E472" s="11">
        <v>471.0</v>
      </c>
    </row>
    <row r="473">
      <c r="B473" s="76"/>
      <c r="D473" s="11" t="s">
        <v>1267</v>
      </c>
      <c r="E473" s="11">
        <v>472.0</v>
      </c>
    </row>
    <row r="474">
      <c r="B474" s="76"/>
      <c r="D474" s="11" t="s">
        <v>1268</v>
      </c>
      <c r="E474" s="11">
        <v>473.0</v>
      </c>
    </row>
    <row r="475">
      <c r="B475" s="76"/>
      <c r="D475" s="11" t="s">
        <v>1269</v>
      </c>
      <c r="E475" s="11">
        <v>474.0</v>
      </c>
    </row>
    <row r="476">
      <c r="B476" s="76"/>
      <c r="D476" s="11" t="s">
        <v>1270</v>
      </c>
      <c r="E476" s="11">
        <v>475.0</v>
      </c>
    </row>
    <row r="477">
      <c r="B477" s="76"/>
      <c r="D477" s="11" t="s">
        <v>1271</v>
      </c>
      <c r="E477" s="11">
        <v>476.0</v>
      </c>
    </row>
    <row r="478">
      <c r="B478" s="76"/>
      <c r="D478" s="11" t="s">
        <v>1272</v>
      </c>
      <c r="E478" s="11">
        <v>477.0</v>
      </c>
    </row>
    <row r="479">
      <c r="B479" s="76"/>
      <c r="D479" s="11" t="s">
        <v>1273</v>
      </c>
      <c r="E479" s="11">
        <v>478.0</v>
      </c>
    </row>
    <row r="480">
      <c r="B480" s="76"/>
      <c r="D480" s="11" t="s">
        <v>1274</v>
      </c>
      <c r="E480" s="11">
        <v>479.0</v>
      </c>
    </row>
    <row r="481">
      <c r="B481" s="76"/>
      <c r="D481" s="11" t="s">
        <v>1275</v>
      </c>
      <c r="E481" s="11">
        <v>480.0</v>
      </c>
    </row>
    <row r="482">
      <c r="B482" s="76"/>
      <c r="D482" s="11" t="s">
        <v>1276</v>
      </c>
      <c r="E482" s="11">
        <v>481.0</v>
      </c>
    </row>
    <row r="483">
      <c r="B483" s="76"/>
      <c r="D483" s="11" t="s">
        <v>1277</v>
      </c>
      <c r="E483" s="11">
        <v>482.0</v>
      </c>
    </row>
    <row r="484">
      <c r="B484" s="76"/>
      <c r="D484" s="11" t="s">
        <v>1278</v>
      </c>
      <c r="E484" s="11">
        <v>483.0</v>
      </c>
    </row>
    <row r="485">
      <c r="B485" s="76"/>
      <c r="D485" s="11" t="s">
        <v>1279</v>
      </c>
      <c r="E485" s="11">
        <v>484.0</v>
      </c>
    </row>
    <row r="486">
      <c r="B486" s="76"/>
      <c r="D486" s="11" t="s">
        <v>1280</v>
      </c>
      <c r="E486" s="11">
        <v>485.0</v>
      </c>
    </row>
    <row r="487">
      <c r="B487" s="76"/>
      <c r="D487" s="11" t="s">
        <v>1281</v>
      </c>
      <c r="E487" s="11">
        <v>486.0</v>
      </c>
    </row>
    <row r="488">
      <c r="B488" s="76"/>
      <c r="D488" s="11" t="s">
        <v>1282</v>
      </c>
      <c r="E488" s="11">
        <v>487.0</v>
      </c>
    </row>
    <row r="489">
      <c r="B489" s="76"/>
      <c r="D489" s="11" t="s">
        <v>1283</v>
      </c>
      <c r="E489" s="11">
        <v>488.0</v>
      </c>
    </row>
    <row r="490">
      <c r="B490" s="76"/>
      <c r="D490" s="11" t="s">
        <v>1284</v>
      </c>
      <c r="E490" s="11">
        <v>489.0</v>
      </c>
    </row>
    <row r="491">
      <c r="B491" s="76"/>
      <c r="D491" s="11" t="s">
        <v>1285</v>
      </c>
      <c r="E491" s="11">
        <v>490.0</v>
      </c>
    </row>
    <row r="492">
      <c r="B492" s="76"/>
      <c r="D492" s="11" t="s">
        <v>1286</v>
      </c>
      <c r="E492" s="11">
        <v>491.0</v>
      </c>
    </row>
    <row r="493">
      <c r="B493" s="76"/>
      <c r="D493" s="11" t="s">
        <v>1287</v>
      </c>
      <c r="E493" s="11">
        <v>492.0</v>
      </c>
    </row>
    <row r="494">
      <c r="B494" s="76"/>
      <c r="D494" s="11" t="s">
        <v>1288</v>
      </c>
      <c r="E494" s="11">
        <v>493.0</v>
      </c>
    </row>
    <row r="495">
      <c r="B495" s="76"/>
      <c r="D495" s="11" t="s">
        <v>1289</v>
      </c>
      <c r="E495" s="11">
        <v>494.0</v>
      </c>
    </row>
    <row r="496">
      <c r="B496" s="76"/>
      <c r="D496" s="11" t="s">
        <v>1290</v>
      </c>
      <c r="E496" s="11">
        <v>495.0</v>
      </c>
    </row>
    <row r="497">
      <c r="B497" s="76"/>
      <c r="D497" s="11" t="s">
        <v>1291</v>
      </c>
      <c r="E497" s="11">
        <v>496.0</v>
      </c>
    </row>
    <row r="498">
      <c r="B498" s="76"/>
      <c r="D498" s="11" t="s">
        <v>1292</v>
      </c>
      <c r="E498" s="11">
        <v>497.0</v>
      </c>
    </row>
    <row r="499">
      <c r="B499" s="76"/>
      <c r="D499" s="11" t="s">
        <v>1293</v>
      </c>
      <c r="E499" s="11">
        <v>498.0</v>
      </c>
    </row>
    <row r="500">
      <c r="B500" s="76"/>
      <c r="D500" s="11" t="s">
        <v>1294</v>
      </c>
      <c r="E500" s="11">
        <v>499.0</v>
      </c>
    </row>
    <row r="501">
      <c r="B501" s="76"/>
      <c r="D501" s="11" t="s">
        <v>1295</v>
      </c>
      <c r="E501" s="11">
        <v>500.0</v>
      </c>
    </row>
    <row r="502">
      <c r="B502" s="76"/>
      <c r="D502" s="11" t="s">
        <v>1296</v>
      </c>
      <c r="E502" s="11">
        <v>501.0</v>
      </c>
    </row>
    <row r="503">
      <c r="B503" s="76"/>
      <c r="D503" s="11" t="s">
        <v>1297</v>
      </c>
      <c r="E503" s="11">
        <v>502.0</v>
      </c>
    </row>
    <row r="504">
      <c r="B504" s="76"/>
      <c r="D504" s="11" t="s">
        <v>1298</v>
      </c>
      <c r="E504" s="11">
        <v>503.0</v>
      </c>
    </row>
    <row r="505">
      <c r="B505" s="76"/>
      <c r="D505" s="11" t="s">
        <v>1299</v>
      </c>
      <c r="E505" s="11">
        <v>504.0</v>
      </c>
    </row>
    <row r="506">
      <c r="B506" s="76"/>
      <c r="D506" s="11" t="s">
        <v>1300</v>
      </c>
      <c r="E506" s="11">
        <v>505.0</v>
      </c>
    </row>
    <row r="507">
      <c r="B507" s="76"/>
      <c r="D507" s="11" t="s">
        <v>1301</v>
      </c>
      <c r="E507" s="11">
        <v>506.0</v>
      </c>
    </row>
    <row r="508">
      <c r="B508" s="76"/>
      <c r="D508" s="11" t="s">
        <v>1302</v>
      </c>
      <c r="E508" s="11">
        <v>507.0</v>
      </c>
    </row>
    <row r="509">
      <c r="B509" s="76"/>
      <c r="D509" s="11" t="s">
        <v>1303</v>
      </c>
      <c r="E509" s="11">
        <v>508.0</v>
      </c>
    </row>
    <row r="510">
      <c r="B510" s="76"/>
      <c r="D510" s="11" t="s">
        <v>1304</v>
      </c>
      <c r="E510" s="11">
        <v>509.0</v>
      </c>
    </row>
    <row r="511">
      <c r="B511" s="76"/>
      <c r="D511" s="11" t="s">
        <v>1305</v>
      </c>
      <c r="E511" s="11">
        <v>510.0</v>
      </c>
    </row>
    <row r="512">
      <c r="B512" s="76"/>
      <c r="D512" s="11" t="s">
        <v>1306</v>
      </c>
      <c r="E512" s="11">
        <v>511.0</v>
      </c>
    </row>
    <row r="513">
      <c r="B513" s="76"/>
      <c r="D513" s="11" t="s">
        <v>1307</v>
      </c>
      <c r="E513" s="11">
        <v>512.0</v>
      </c>
    </row>
    <row r="514">
      <c r="B514" s="76"/>
      <c r="D514" s="11" t="s">
        <v>1308</v>
      </c>
      <c r="E514" s="11">
        <v>513.0</v>
      </c>
    </row>
    <row r="515">
      <c r="B515" s="76"/>
      <c r="D515" s="11" t="s">
        <v>1309</v>
      </c>
      <c r="E515" s="11">
        <v>514.0</v>
      </c>
    </row>
    <row r="516">
      <c r="B516" s="76"/>
      <c r="D516" s="11" t="s">
        <v>1310</v>
      </c>
      <c r="E516" s="11">
        <v>515.0</v>
      </c>
    </row>
    <row r="517">
      <c r="B517" s="76"/>
      <c r="D517" s="11" t="s">
        <v>1311</v>
      </c>
      <c r="E517" s="11">
        <v>516.0</v>
      </c>
    </row>
    <row r="518">
      <c r="B518" s="76"/>
      <c r="D518" s="11" t="s">
        <v>1312</v>
      </c>
      <c r="E518" s="11">
        <v>517.0</v>
      </c>
    </row>
    <row r="519">
      <c r="B519" s="76"/>
      <c r="D519" s="11" t="s">
        <v>1313</v>
      </c>
      <c r="E519" s="11">
        <v>518.0</v>
      </c>
    </row>
    <row r="520">
      <c r="B520" s="76"/>
      <c r="D520" s="11" t="s">
        <v>1314</v>
      </c>
      <c r="E520" s="11">
        <v>519.0</v>
      </c>
    </row>
    <row r="521">
      <c r="B521" s="76"/>
      <c r="D521" s="11" t="s">
        <v>1315</v>
      </c>
      <c r="E521" s="11">
        <v>520.0</v>
      </c>
    </row>
    <row r="522">
      <c r="B522" s="76"/>
      <c r="D522" s="11" t="s">
        <v>1316</v>
      </c>
      <c r="E522" s="11">
        <v>521.0</v>
      </c>
    </row>
    <row r="523">
      <c r="B523" s="76"/>
      <c r="D523" s="11" t="s">
        <v>1317</v>
      </c>
      <c r="E523" s="11">
        <v>522.0</v>
      </c>
    </row>
    <row r="524">
      <c r="B524" s="76"/>
      <c r="D524" s="11" t="s">
        <v>1318</v>
      </c>
      <c r="E524" s="11">
        <v>523.0</v>
      </c>
    </row>
    <row r="525">
      <c r="B525" s="76"/>
      <c r="D525" s="11" t="s">
        <v>1319</v>
      </c>
      <c r="E525" s="11">
        <v>524.0</v>
      </c>
    </row>
    <row r="526">
      <c r="B526" s="76"/>
      <c r="D526" s="11" t="s">
        <v>1320</v>
      </c>
      <c r="E526" s="11">
        <v>525.0</v>
      </c>
    </row>
    <row r="527">
      <c r="B527" s="76"/>
      <c r="D527" s="11" t="s">
        <v>1321</v>
      </c>
      <c r="E527" s="11">
        <v>526.0</v>
      </c>
    </row>
    <row r="528">
      <c r="B528" s="76"/>
      <c r="D528" s="11" t="s">
        <v>1322</v>
      </c>
      <c r="E528" s="11">
        <v>527.0</v>
      </c>
    </row>
    <row r="529">
      <c r="B529" s="76"/>
      <c r="D529" s="11" t="s">
        <v>1323</v>
      </c>
      <c r="E529" s="11">
        <v>528.0</v>
      </c>
    </row>
    <row r="530">
      <c r="B530" s="76"/>
      <c r="D530" s="11" t="s">
        <v>1324</v>
      </c>
      <c r="E530" s="11">
        <v>529.0</v>
      </c>
    </row>
    <row r="531">
      <c r="B531" s="76"/>
      <c r="D531" s="11" t="s">
        <v>1325</v>
      </c>
      <c r="E531" s="11">
        <v>530.0</v>
      </c>
    </row>
    <row r="532">
      <c r="B532" s="76"/>
      <c r="D532" s="11" t="s">
        <v>1326</v>
      </c>
      <c r="E532" s="11">
        <v>531.0</v>
      </c>
    </row>
    <row r="533">
      <c r="B533" s="76"/>
      <c r="D533" s="11" t="s">
        <v>1327</v>
      </c>
      <c r="E533" s="11">
        <v>532.0</v>
      </c>
    </row>
    <row r="534">
      <c r="B534" s="76"/>
      <c r="D534" s="11" t="s">
        <v>1328</v>
      </c>
      <c r="E534" s="11">
        <v>533.0</v>
      </c>
    </row>
    <row r="535">
      <c r="B535" s="76"/>
      <c r="D535" s="11" t="s">
        <v>1329</v>
      </c>
      <c r="E535" s="11">
        <v>534.0</v>
      </c>
    </row>
    <row r="536">
      <c r="B536" s="76"/>
      <c r="D536" s="11" t="s">
        <v>1330</v>
      </c>
      <c r="E536" s="11">
        <v>535.0</v>
      </c>
    </row>
    <row r="537">
      <c r="B537" s="76"/>
      <c r="D537" s="11" t="s">
        <v>1331</v>
      </c>
      <c r="E537" s="11">
        <v>536.0</v>
      </c>
    </row>
    <row r="538">
      <c r="B538" s="76"/>
      <c r="D538" s="11" t="s">
        <v>1332</v>
      </c>
      <c r="E538" s="11">
        <v>537.0</v>
      </c>
    </row>
    <row r="539">
      <c r="B539" s="76"/>
      <c r="D539" s="11" t="s">
        <v>1333</v>
      </c>
      <c r="E539" s="11">
        <v>538.0</v>
      </c>
    </row>
    <row r="540">
      <c r="B540" s="76"/>
      <c r="D540" s="11" t="s">
        <v>1334</v>
      </c>
      <c r="E540" s="11">
        <v>539.0</v>
      </c>
    </row>
    <row r="541">
      <c r="B541" s="76"/>
      <c r="D541" s="11" t="s">
        <v>1335</v>
      </c>
      <c r="E541" s="11">
        <v>540.0</v>
      </c>
    </row>
    <row r="542">
      <c r="B542" s="76"/>
      <c r="D542" s="11" t="s">
        <v>1336</v>
      </c>
      <c r="E542" s="11">
        <v>541.0</v>
      </c>
    </row>
    <row r="543">
      <c r="B543" s="76"/>
      <c r="D543" s="11" t="s">
        <v>1337</v>
      </c>
      <c r="E543" s="11">
        <v>542.0</v>
      </c>
    </row>
    <row r="544">
      <c r="B544" s="76"/>
      <c r="D544" s="11" t="s">
        <v>1338</v>
      </c>
      <c r="E544" s="11">
        <v>543.0</v>
      </c>
    </row>
    <row r="545">
      <c r="B545" s="76"/>
      <c r="D545" s="11" t="s">
        <v>1339</v>
      </c>
      <c r="E545" s="11">
        <v>544.0</v>
      </c>
    </row>
    <row r="546">
      <c r="B546" s="76"/>
      <c r="D546" s="11" t="s">
        <v>1340</v>
      </c>
      <c r="E546" s="11">
        <v>545.0</v>
      </c>
    </row>
    <row r="547">
      <c r="B547" s="76"/>
      <c r="D547" s="11" t="s">
        <v>1341</v>
      </c>
      <c r="E547" s="11">
        <v>546.0</v>
      </c>
    </row>
    <row r="548">
      <c r="B548" s="76"/>
      <c r="D548" s="11" t="s">
        <v>1342</v>
      </c>
      <c r="E548" s="11">
        <v>547.0</v>
      </c>
    </row>
    <row r="549">
      <c r="B549" s="76"/>
      <c r="D549" s="11" t="s">
        <v>1343</v>
      </c>
      <c r="E549" s="11">
        <v>548.0</v>
      </c>
    </row>
    <row r="550">
      <c r="B550" s="76"/>
      <c r="D550" s="11" t="s">
        <v>1344</v>
      </c>
      <c r="E550" s="11">
        <v>549.0</v>
      </c>
    </row>
    <row r="551">
      <c r="B551" s="76"/>
      <c r="D551" s="11" t="s">
        <v>1345</v>
      </c>
      <c r="E551" s="11">
        <v>550.0</v>
      </c>
    </row>
    <row r="552">
      <c r="B552" s="76"/>
      <c r="D552" s="11" t="s">
        <v>1346</v>
      </c>
      <c r="E552" s="11">
        <v>551.0</v>
      </c>
    </row>
    <row r="553">
      <c r="B553" s="76"/>
      <c r="D553" s="11" t="s">
        <v>1347</v>
      </c>
      <c r="E553" s="11">
        <v>552.0</v>
      </c>
    </row>
    <row r="554">
      <c r="B554" s="76"/>
      <c r="D554" s="11" t="s">
        <v>1348</v>
      </c>
      <c r="E554" s="11">
        <v>553.0</v>
      </c>
    </row>
    <row r="555">
      <c r="B555" s="76"/>
      <c r="D555" s="11" t="s">
        <v>1349</v>
      </c>
      <c r="E555" s="11">
        <v>554.0</v>
      </c>
    </row>
    <row r="556">
      <c r="B556" s="76"/>
      <c r="D556" s="11" t="s">
        <v>1350</v>
      </c>
      <c r="E556" s="11">
        <v>555.0</v>
      </c>
    </row>
    <row r="557">
      <c r="B557" s="76"/>
      <c r="D557" s="11" t="s">
        <v>1351</v>
      </c>
      <c r="E557" s="11">
        <v>556.0</v>
      </c>
    </row>
    <row r="558">
      <c r="B558" s="76"/>
      <c r="D558" s="11" t="s">
        <v>1352</v>
      </c>
      <c r="E558" s="11">
        <v>557.0</v>
      </c>
    </row>
    <row r="559">
      <c r="B559" s="76"/>
      <c r="D559" s="11" t="s">
        <v>1353</v>
      </c>
      <c r="E559" s="11">
        <v>558.0</v>
      </c>
    </row>
    <row r="560">
      <c r="B560" s="76"/>
      <c r="D560" s="11" t="s">
        <v>1354</v>
      </c>
      <c r="E560" s="11">
        <v>559.0</v>
      </c>
    </row>
    <row r="561">
      <c r="B561" s="76"/>
      <c r="D561" s="11" t="s">
        <v>1355</v>
      </c>
      <c r="E561" s="11">
        <v>560.0</v>
      </c>
    </row>
    <row r="562">
      <c r="B562" s="76"/>
      <c r="D562" s="11" t="s">
        <v>1356</v>
      </c>
      <c r="E562" s="11">
        <v>561.0</v>
      </c>
    </row>
    <row r="563">
      <c r="B563" s="76"/>
      <c r="D563" s="11" t="s">
        <v>1357</v>
      </c>
      <c r="E563" s="11">
        <v>562.0</v>
      </c>
    </row>
    <row r="564">
      <c r="B564" s="76"/>
      <c r="D564" s="11" t="s">
        <v>1358</v>
      </c>
      <c r="E564" s="11">
        <v>563.0</v>
      </c>
    </row>
    <row r="565">
      <c r="B565" s="76"/>
      <c r="D565" s="11" t="s">
        <v>1359</v>
      </c>
      <c r="E565" s="11">
        <v>564.0</v>
      </c>
    </row>
    <row r="566">
      <c r="B566" s="76"/>
      <c r="D566" s="11" t="s">
        <v>1360</v>
      </c>
      <c r="E566" s="11">
        <v>565.0</v>
      </c>
    </row>
    <row r="567">
      <c r="B567" s="76"/>
      <c r="D567" s="11" t="s">
        <v>1361</v>
      </c>
      <c r="E567" s="11">
        <v>566.0</v>
      </c>
    </row>
    <row r="568">
      <c r="B568" s="76"/>
      <c r="D568" s="11" t="s">
        <v>1362</v>
      </c>
      <c r="E568" s="11">
        <v>567.0</v>
      </c>
    </row>
    <row r="569">
      <c r="B569" s="76"/>
      <c r="D569" s="11" t="s">
        <v>1363</v>
      </c>
      <c r="E569" s="11">
        <v>568.0</v>
      </c>
    </row>
    <row r="570">
      <c r="B570" s="76"/>
      <c r="D570" s="11" t="s">
        <v>1364</v>
      </c>
      <c r="E570" s="11">
        <v>569.0</v>
      </c>
    </row>
    <row r="571">
      <c r="B571" s="76"/>
      <c r="D571" s="11" t="s">
        <v>1365</v>
      </c>
      <c r="E571" s="11">
        <v>570.0</v>
      </c>
    </row>
    <row r="572">
      <c r="B572" s="76"/>
      <c r="D572" s="11" t="s">
        <v>1366</v>
      </c>
      <c r="E572" s="11">
        <v>571.0</v>
      </c>
    </row>
    <row r="573">
      <c r="B573" s="76"/>
      <c r="D573" s="11" t="s">
        <v>1367</v>
      </c>
      <c r="E573" s="11">
        <v>572.0</v>
      </c>
    </row>
    <row r="574">
      <c r="B574" s="76"/>
      <c r="D574" s="11" t="s">
        <v>1368</v>
      </c>
      <c r="E574" s="11">
        <v>573.0</v>
      </c>
    </row>
    <row r="575">
      <c r="B575" s="76"/>
      <c r="D575" s="11" t="s">
        <v>1369</v>
      </c>
      <c r="E575" s="11">
        <v>574.0</v>
      </c>
    </row>
    <row r="576">
      <c r="B576" s="76"/>
      <c r="D576" s="11" t="s">
        <v>1370</v>
      </c>
      <c r="E576" s="11">
        <v>575.0</v>
      </c>
    </row>
    <row r="577">
      <c r="B577" s="76"/>
      <c r="D577" s="11" t="s">
        <v>1371</v>
      </c>
      <c r="E577" s="11">
        <v>576.0</v>
      </c>
    </row>
    <row r="578">
      <c r="B578" s="76"/>
      <c r="D578" s="11" t="s">
        <v>1372</v>
      </c>
      <c r="E578" s="11">
        <v>577.0</v>
      </c>
    </row>
    <row r="579">
      <c r="B579" s="76"/>
      <c r="D579" s="11" t="s">
        <v>1373</v>
      </c>
      <c r="E579" s="11">
        <v>578.0</v>
      </c>
    </row>
    <row r="580">
      <c r="B580" s="76"/>
      <c r="D580" s="11" t="s">
        <v>1374</v>
      </c>
      <c r="E580" s="11">
        <v>579.0</v>
      </c>
    </row>
    <row r="581">
      <c r="B581" s="76"/>
      <c r="D581" s="11" t="s">
        <v>1375</v>
      </c>
      <c r="E581" s="11">
        <v>580.0</v>
      </c>
    </row>
    <row r="582">
      <c r="B582" s="76"/>
      <c r="D582" s="11" t="s">
        <v>1376</v>
      </c>
      <c r="E582" s="11">
        <v>581.0</v>
      </c>
    </row>
    <row r="583">
      <c r="B583" s="76"/>
      <c r="D583" s="11" t="s">
        <v>1377</v>
      </c>
      <c r="E583" s="11">
        <v>582.0</v>
      </c>
    </row>
    <row r="584">
      <c r="B584" s="76"/>
      <c r="D584" s="11" t="s">
        <v>1378</v>
      </c>
      <c r="E584" s="11">
        <v>583.0</v>
      </c>
    </row>
    <row r="585">
      <c r="B585" s="76"/>
      <c r="D585" s="11" t="s">
        <v>1379</v>
      </c>
      <c r="E585" s="11">
        <v>584.0</v>
      </c>
    </row>
    <row r="586">
      <c r="B586" s="76"/>
      <c r="D586" s="11" t="s">
        <v>1380</v>
      </c>
      <c r="E586" s="11">
        <v>585.0</v>
      </c>
    </row>
    <row r="587">
      <c r="B587" s="76"/>
      <c r="D587" s="11" t="s">
        <v>1381</v>
      </c>
      <c r="E587" s="11">
        <v>586.0</v>
      </c>
    </row>
    <row r="588">
      <c r="B588" s="76"/>
      <c r="D588" s="11" t="s">
        <v>1382</v>
      </c>
      <c r="E588" s="11">
        <v>587.0</v>
      </c>
    </row>
    <row r="589">
      <c r="B589" s="76"/>
      <c r="D589" s="11" t="s">
        <v>1383</v>
      </c>
      <c r="E589" s="11">
        <v>588.0</v>
      </c>
    </row>
    <row r="590">
      <c r="B590" s="76"/>
      <c r="D590" s="11" t="s">
        <v>1384</v>
      </c>
      <c r="E590" s="11">
        <v>589.0</v>
      </c>
    </row>
    <row r="591">
      <c r="B591" s="76"/>
      <c r="D591" s="11" t="s">
        <v>1385</v>
      </c>
      <c r="E591" s="11">
        <v>590.0</v>
      </c>
    </row>
    <row r="592">
      <c r="B592" s="76"/>
      <c r="D592" s="11" t="s">
        <v>1386</v>
      </c>
      <c r="E592" s="11">
        <v>591.0</v>
      </c>
    </row>
    <row r="593">
      <c r="B593" s="76"/>
      <c r="D593" s="11" t="s">
        <v>1387</v>
      </c>
      <c r="E593" s="11">
        <v>592.0</v>
      </c>
    </row>
    <row r="594">
      <c r="B594" s="76"/>
      <c r="D594" s="11" t="s">
        <v>1388</v>
      </c>
      <c r="E594" s="11">
        <v>593.0</v>
      </c>
    </row>
    <row r="595">
      <c r="B595" s="76"/>
      <c r="D595" s="11" t="s">
        <v>1389</v>
      </c>
      <c r="E595" s="11">
        <v>594.0</v>
      </c>
    </row>
    <row r="596">
      <c r="B596" s="76"/>
      <c r="D596" s="11" t="s">
        <v>1390</v>
      </c>
      <c r="E596" s="11">
        <v>595.0</v>
      </c>
    </row>
    <row r="597">
      <c r="B597" s="76"/>
      <c r="D597" s="11" t="s">
        <v>1391</v>
      </c>
      <c r="E597" s="11">
        <v>596.0</v>
      </c>
    </row>
    <row r="598">
      <c r="B598" s="76"/>
      <c r="D598" s="11" t="s">
        <v>1392</v>
      </c>
      <c r="E598" s="11">
        <v>597.0</v>
      </c>
    </row>
    <row r="599">
      <c r="B599" s="76"/>
      <c r="D599" s="11" t="s">
        <v>1393</v>
      </c>
      <c r="E599" s="11">
        <v>598.0</v>
      </c>
    </row>
    <row r="600">
      <c r="B600" s="76"/>
      <c r="D600" s="11" t="s">
        <v>1394</v>
      </c>
      <c r="E600" s="11">
        <v>599.0</v>
      </c>
    </row>
    <row r="601">
      <c r="B601" s="76"/>
      <c r="D601" s="11" t="s">
        <v>1395</v>
      </c>
      <c r="E601" s="11">
        <v>600.0</v>
      </c>
    </row>
    <row r="602">
      <c r="B602" s="76"/>
      <c r="D602" s="11" t="s">
        <v>1396</v>
      </c>
      <c r="E602" s="11">
        <v>601.0</v>
      </c>
    </row>
    <row r="603">
      <c r="B603" s="76"/>
      <c r="D603" s="11" t="s">
        <v>1397</v>
      </c>
      <c r="E603" s="11">
        <v>602.0</v>
      </c>
    </row>
    <row r="604">
      <c r="B604" s="76"/>
      <c r="D604" s="11" t="s">
        <v>1398</v>
      </c>
      <c r="E604" s="11">
        <v>603.0</v>
      </c>
    </row>
    <row r="605">
      <c r="B605" s="76"/>
      <c r="D605" s="11" t="s">
        <v>1399</v>
      </c>
      <c r="E605" s="11">
        <v>604.0</v>
      </c>
    </row>
    <row r="606">
      <c r="B606" s="76"/>
      <c r="D606" s="11" t="s">
        <v>1400</v>
      </c>
      <c r="E606" s="11">
        <v>605.0</v>
      </c>
    </row>
    <row r="607">
      <c r="B607" s="76"/>
      <c r="D607" s="11" t="s">
        <v>1401</v>
      </c>
      <c r="E607" s="11">
        <v>606.0</v>
      </c>
    </row>
    <row r="608">
      <c r="B608" s="76"/>
      <c r="D608" s="11" t="s">
        <v>1402</v>
      </c>
      <c r="E608" s="11">
        <v>607.0</v>
      </c>
    </row>
    <row r="609">
      <c r="B609" s="76"/>
      <c r="D609" s="11" t="s">
        <v>1403</v>
      </c>
      <c r="E609" s="11">
        <v>608.0</v>
      </c>
    </row>
    <row r="610">
      <c r="B610" s="76"/>
      <c r="D610" s="11" t="s">
        <v>1404</v>
      </c>
      <c r="E610" s="11">
        <v>609.0</v>
      </c>
    </row>
    <row r="611">
      <c r="B611" s="76"/>
      <c r="D611" s="11" t="s">
        <v>1405</v>
      </c>
      <c r="E611" s="11">
        <v>610.0</v>
      </c>
    </row>
    <row r="612">
      <c r="B612" s="76"/>
      <c r="D612" s="11" t="s">
        <v>1406</v>
      </c>
      <c r="E612" s="11">
        <v>611.0</v>
      </c>
    </row>
    <row r="613">
      <c r="B613" s="76"/>
      <c r="D613" s="11" t="s">
        <v>1407</v>
      </c>
      <c r="E613" s="11">
        <v>612.0</v>
      </c>
    </row>
    <row r="614">
      <c r="B614" s="76"/>
      <c r="D614" s="11" t="s">
        <v>1408</v>
      </c>
      <c r="E614" s="11">
        <v>613.0</v>
      </c>
    </row>
    <row r="615">
      <c r="B615" s="76"/>
      <c r="D615" s="11" t="s">
        <v>1409</v>
      </c>
      <c r="E615" s="11">
        <v>614.0</v>
      </c>
    </row>
    <row r="616">
      <c r="B616" s="76"/>
      <c r="D616" s="11" t="s">
        <v>1410</v>
      </c>
      <c r="E616" s="11">
        <v>615.0</v>
      </c>
    </row>
    <row r="617">
      <c r="B617" s="76"/>
      <c r="D617" s="11" t="s">
        <v>1411</v>
      </c>
      <c r="E617" s="11">
        <v>616.0</v>
      </c>
    </row>
    <row r="618">
      <c r="B618" s="76"/>
      <c r="D618" s="11" t="s">
        <v>1412</v>
      </c>
      <c r="E618" s="11">
        <v>617.0</v>
      </c>
    </row>
    <row r="619">
      <c r="B619" s="76"/>
      <c r="D619" s="11" t="s">
        <v>1413</v>
      </c>
      <c r="E619" s="11">
        <v>618.0</v>
      </c>
    </row>
    <row r="620">
      <c r="B620" s="76"/>
      <c r="D620" s="11" t="s">
        <v>1414</v>
      </c>
      <c r="E620" s="11">
        <v>619.0</v>
      </c>
    </row>
    <row r="621">
      <c r="B621" s="76"/>
      <c r="D621" s="11" t="s">
        <v>1415</v>
      </c>
      <c r="E621" s="11">
        <v>620.0</v>
      </c>
    </row>
    <row r="622">
      <c r="B622" s="76"/>
      <c r="D622" s="11" t="s">
        <v>1416</v>
      </c>
      <c r="E622" s="11">
        <v>621.0</v>
      </c>
    </row>
    <row r="623">
      <c r="B623" s="76"/>
      <c r="D623" s="11" t="s">
        <v>1417</v>
      </c>
      <c r="E623" s="11">
        <v>622.0</v>
      </c>
    </row>
    <row r="624">
      <c r="B624" s="76"/>
      <c r="D624" s="11" t="s">
        <v>1418</v>
      </c>
      <c r="E624" s="11">
        <v>623.0</v>
      </c>
    </row>
    <row r="625">
      <c r="B625" s="76"/>
      <c r="D625" s="11" t="s">
        <v>1419</v>
      </c>
      <c r="E625" s="11">
        <v>624.0</v>
      </c>
    </row>
    <row r="626">
      <c r="B626" s="76"/>
      <c r="D626" s="11" t="s">
        <v>1420</v>
      </c>
      <c r="E626" s="11">
        <v>625.0</v>
      </c>
    </row>
    <row r="627">
      <c r="B627" s="76"/>
      <c r="D627" s="11" t="s">
        <v>1421</v>
      </c>
      <c r="E627" s="11">
        <v>626.0</v>
      </c>
    </row>
    <row r="628">
      <c r="B628" s="76"/>
      <c r="D628" s="11" t="s">
        <v>1422</v>
      </c>
      <c r="E628" s="11">
        <v>627.0</v>
      </c>
    </row>
    <row r="629">
      <c r="B629" s="76"/>
      <c r="D629" s="11" t="s">
        <v>1423</v>
      </c>
      <c r="E629" s="11">
        <v>628.0</v>
      </c>
    </row>
    <row r="630">
      <c r="B630" s="76"/>
      <c r="D630" s="11" t="s">
        <v>1424</v>
      </c>
      <c r="E630" s="11">
        <v>629.0</v>
      </c>
    </row>
    <row r="631">
      <c r="B631" s="76"/>
      <c r="D631" s="11" t="s">
        <v>1425</v>
      </c>
      <c r="E631" s="11">
        <v>630.0</v>
      </c>
    </row>
    <row r="632">
      <c r="B632" s="76"/>
      <c r="D632" s="11" t="s">
        <v>1426</v>
      </c>
      <c r="E632" s="11">
        <v>631.0</v>
      </c>
    </row>
    <row r="633">
      <c r="B633" s="76"/>
      <c r="D633" s="11" t="s">
        <v>1427</v>
      </c>
      <c r="E633" s="11">
        <v>632.0</v>
      </c>
    </row>
    <row r="634">
      <c r="B634" s="76"/>
      <c r="D634" s="11" t="s">
        <v>1428</v>
      </c>
      <c r="E634" s="11">
        <v>633.0</v>
      </c>
    </row>
    <row r="635">
      <c r="B635" s="76"/>
      <c r="D635" s="11" t="s">
        <v>1429</v>
      </c>
      <c r="E635" s="11">
        <v>634.0</v>
      </c>
    </row>
    <row r="636">
      <c r="B636" s="76"/>
      <c r="D636" s="11" t="s">
        <v>1430</v>
      </c>
      <c r="E636" s="11">
        <v>635.0</v>
      </c>
    </row>
    <row r="637">
      <c r="B637" s="76"/>
      <c r="D637" s="11" t="s">
        <v>1431</v>
      </c>
      <c r="E637" s="11">
        <v>636.0</v>
      </c>
    </row>
    <row r="638">
      <c r="B638" s="76"/>
      <c r="D638" s="11" t="s">
        <v>1432</v>
      </c>
      <c r="E638" s="11">
        <v>637.0</v>
      </c>
    </row>
    <row r="639">
      <c r="B639" s="76"/>
      <c r="D639" s="11" t="s">
        <v>1433</v>
      </c>
      <c r="E639" s="11">
        <v>638.0</v>
      </c>
    </row>
    <row r="640">
      <c r="B640" s="76"/>
      <c r="D640" s="11" t="s">
        <v>1434</v>
      </c>
      <c r="E640" s="11">
        <v>639.0</v>
      </c>
    </row>
    <row r="641">
      <c r="B641" s="76"/>
      <c r="D641" s="11" t="s">
        <v>1435</v>
      </c>
      <c r="E641" s="11">
        <v>640.0</v>
      </c>
    </row>
    <row r="642">
      <c r="B642" s="76"/>
      <c r="D642" s="11" t="s">
        <v>1436</v>
      </c>
      <c r="E642" s="11">
        <v>641.0</v>
      </c>
    </row>
    <row r="643">
      <c r="B643" s="76"/>
      <c r="D643" s="11" t="s">
        <v>1437</v>
      </c>
      <c r="E643" s="11">
        <v>642.0</v>
      </c>
    </row>
    <row r="644">
      <c r="B644" s="76"/>
      <c r="D644" s="11" t="s">
        <v>1438</v>
      </c>
      <c r="E644" s="11">
        <v>643.0</v>
      </c>
    </row>
    <row r="645">
      <c r="B645" s="76"/>
      <c r="D645" s="11" t="s">
        <v>1439</v>
      </c>
      <c r="E645" s="11">
        <v>644.0</v>
      </c>
    </row>
    <row r="646">
      <c r="B646" s="76"/>
      <c r="D646" s="11" t="s">
        <v>1440</v>
      </c>
      <c r="E646" s="11">
        <v>645.0</v>
      </c>
    </row>
    <row r="647">
      <c r="B647" s="76"/>
      <c r="D647" s="11" t="s">
        <v>1441</v>
      </c>
      <c r="E647" s="11">
        <v>646.0</v>
      </c>
    </row>
    <row r="648">
      <c r="B648" s="76"/>
      <c r="D648" s="11" t="s">
        <v>1442</v>
      </c>
      <c r="E648" s="11">
        <v>647.0</v>
      </c>
    </row>
    <row r="649">
      <c r="B649" s="76"/>
      <c r="D649" s="11" t="s">
        <v>1443</v>
      </c>
      <c r="E649" s="11">
        <v>648.0</v>
      </c>
    </row>
    <row r="650">
      <c r="B650" s="76"/>
      <c r="D650" s="11" t="s">
        <v>1444</v>
      </c>
      <c r="E650" s="11">
        <v>649.0</v>
      </c>
    </row>
    <row r="651">
      <c r="B651" s="76"/>
      <c r="D651" s="11" t="s">
        <v>1445</v>
      </c>
      <c r="E651" s="11">
        <v>650.0</v>
      </c>
    </row>
    <row r="652">
      <c r="B652" s="76"/>
      <c r="D652" s="11" t="s">
        <v>1446</v>
      </c>
      <c r="E652" s="11">
        <v>651.0</v>
      </c>
    </row>
    <row r="653">
      <c r="B653" s="76"/>
      <c r="D653" s="11" t="s">
        <v>1447</v>
      </c>
      <c r="E653" s="11">
        <v>652.0</v>
      </c>
    </row>
    <row r="654">
      <c r="B654" s="76"/>
      <c r="D654" s="11" t="s">
        <v>1448</v>
      </c>
      <c r="E654" s="11">
        <v>653.0</v>
      </c>
    </row>
    <row r="655">
      <c r="B655" s="76"/>
      <c r="D655" s="11" t="s">
        <v>1449</v>
      </c>
      <c r="E655" s="11">
        <v>654.0</v>
      </c>
    </row>
    <row r="656">
      <c r="B656" s="76"/>
      <c r="D656" s="11" t="s">
        <v>1450</v>
      </c>
      <c r="E656" s="11">
        <v>655.0</v>
      </c>
    </row>
    <row r="657">
      <c r="B657" s="76"/>
      <c r="D657" s="11" t="s">
        <v>1451</v>
      </c>
      <c r="E657" s="11">
        <v>656.0</v>
      </c>
    </row>
    <row r="658">
      <c r="B658" s="76"/>
      <c r="D658" s="11" t="s">
        <v>1452</v>
      </c>
      <c r="E658" s="11">
        <v>657.0</v>
      </c>
    </row>
    <row r="659">
      <c r="B659" s="76"/>
      <c r="D659" s="11" t="s">
        <v>1453</v>
      </c>
      <c r="E659" s="11">
        <v>658.0</v>
      </c>
    </row>
    <row r="660">
      <c r="B660" s="76"/>
      <c r="D660" s="11" t="s">
        <v>1454</v>
      </c>
      <c r="E660" s="11">
        <v>659.0</v>
      </c>
    </row>
    <row r="661">
      <c r="B661" s="76"/>
      <c r="D661" s="11" t="s">
        <v>1455</v>
      </c>
      <c r="E661" s="11">
        <v>660.0</v>
      </c>
    </row>
    <row r="662">
      <c r="B662" s="76"/>
      <c r="D662" s="11" t="s">
        <v>1456</v>
      </c>
      <c r="E662" s="11">
        <v>661.0</v>
      </c>
    </row>
    <row r="663">
      <c r="B663" s="76"/>
      <c r="D663" s="11" t="s">
        <v>1457</v>
      </c>
      <c r="E663" s="11">
        <v>662.0</v>
      </c>
    </row>
    <row r="664">
      <c r="B664" s="76"/>
      <c r="D664" s="11" t="s">
        <v>1458</v>
      </c>
      <c r="E664" s="11">
        <v>663.0</v>
      </c>
    </row>
    <row r="665">
      <c r="B665" s="76"/>
      <c r="D665" s="11" t="s">
        <v>1459</v>
      </c>
      <c r="E665" s="11">
        <v>664.0</v>
      </c>
    </row>
    <row r="666">
      <c r="B666" s="76"/>
      <c r="D666" s="11" t="s">
        <v>1460</v>
      </c>
      <c r="E666" s="11">
        <v>665.0</v>
      </c>
    </row>
    <row r="667">
      <c r="B667" s="76"/>
      <c r="D667" s="11" t="s">
        <v>1461</v>
      </c>
      <c r="E667" s="11">
        <v>666.0</v>
      </c>
    </row>
    <row r="668">
      <c r="B668" s="76"/>
      <c r="D668" s="11" t="s">
        <v>1462</v>
      </c>
      <c r="E668" s="11">
        <v>667.0</v>
      </c>
    </row>
    <row r="669">
      <c r="B669" s="76"/>
      <c r="D669" s="11" t="s">
        <v>1463</v>
      </c>
      <c r="E669" s="11">
        <v>668.0</v>
      </c>
    </row>
    <row r="670">
      <c r="B670" s="76"/>
      <c r="D670" s="11" t="s">
        <v>1464</v>
      </c>
      <c r="E670" s="11">
        <v>669.0</v>
      </c>
    </row>
    <row r="671">
      <c r="B671" s="76"/>
      <c r="D671" s="11" t="s">
        <v>1465</v>
      </c>
      <c r="E671" s="11">
        <v>670.0</v>
      </c>
    </row>
    <row r="672">
      <c r="B672" s="76"/>
      <c r="D672" s="11" t="s">
        <v>1466</v>
      </c>
      <c r="E672" s="11">
        <v>671.0</v>
      </c>
    </row>
    <row r="673">
      <c r="B673" s="76"/>
      <c r="D673" s="11" t="s">
        <v>1467</v>
      </c>
      <c r="E673" s="11">
        <v>672.0</v>
      </c>
    </row>
    <row r="674">
      <c r="B674" s="76"/>
      <c r="D674" s="11" t="s">
        <v>1468</v>
      </c>
      <c r="E674" s="11">
        <v>673.0</v>
      </c>
    </row>
    <row r="675">
      <c r="B675" s="76"/>
      <c r="D675" s="11" t="s">
        <v>1469</v>
      </c>
      <c r="E675" s="11">
        <v>674.0</v>
      </c>
    </row>
    <row r="676">
      <c r="B676" s="76"/>
      <c r="D676" s="11" t="s">
        <v>1470</v>
      </c>
      <c r="E676" s="11">
        <v>675.0</v>
      </c>
    </row>
    <row r="677">
      <c r="B677" s="76"/>
      <c r="D677" s="11" t="s">
        <v>1471</v>
      </c>
      <c r="E677" s="11">
        <v>676.0</v>
      </c>
    </row>
    <row r="678">
      <c r="B678" s="76"/>
      <c r="D678" s="11" t="s">
        <v>1472</v>
      </c>
      <c r="E678" s="11">
        <v>677.0</v>
      </c>
    </row>
    <row r="679">
      <c r="B679" s="76"/>
      <c r="D679" s="11" t="s">
        <v>1473</v>
      </c>
      <c r="E679" s="11">
        <v>678.0</v>
      </c>
    </row>
    <row r="680">
      <c r="B680" s="76"/>
      <c r="D680" s="11" t="s">
        <v>1474</v>
      </c>
      <c r="E680" s="11">
        <v>679.0</v>
      </c>
    </row>
    <row r="681">
      <c r="B681" s="76"/>
      <c r="D681" s="11" t="s">
        <v>1475</v>
      </c>
      <c r="E681" s="11">
        <v>680.0</v>
      </c>
    </row>
    <row r="682">
      <c r="B682" s="76"/>
      <c r="D682" s="11" t="s">
        <v>1476</v>
      </c>
      <c r="E682" s="11">
        <v>681.0</v>
      </c>
    </row>
    <row r="683">
      <c r="B683" s="76"/>
      <c r="D683" s="11" t="s">
        <v>1477</v>
      </c>
      <c r="E683" s="11">
        <v>682.0</v>
      </c>
    </row>
    <row r="684">
      <c r="B684" s="76"/>
      <c r="D684" s="11" t="s">
        <v>1478</v>
      </c>
      <c r="E684" s="11">
        <v>683.0</v>
      </c>
    </row>
    <row r="685">
      <c r="B685" s="76"/>
      <c r="D685" s="11" t="s">
        <v>1479</v>
      </c>
      <c r="E685" s="11">
        <v>684.0</v>
      </c>
    </row>
    <row r="686">
      <c r="B686" s="76"/>
      <c r="D686" s="11" t="s">
        <v>1480</v>
      </c>
      <c r="E686" s="11">
        <v>685.0</v>
      </c>
    </row>
    <row r="687">
      <c r="B687" s="76"/>
      <c r="D687" s="11" t="s">
        <v>1481</v>
      </c>
      <c r="E687" s="11">
        <v>686.0</v>
      </c>
    </row>
    <row r="688">
      <c r="B688" s="76"/>
      <c r="D688" s="11" t="s">
        <v>1482</v>
      </c>
      <c r="E688" s="11">
        <v>687.0</v>
      </c>
    </row>
    <row r="689">
      <c r="B689" s="76"/>
      <c r="D689" s="11" t="s">
        <v>1483</v>
      </c>
      <c r="E689" s="11">
        <v>688.0</v>
      </c>
    </row>
    <row r="690">
      <c r="B690" s="76"/>
      <c r="D690" s="11" t="s">
        <v>1484</v>
      </c>
      <c r="E690" s="11">
        <v>689.0</v>
      </c>
    </row>
    <row r="691">
      <c r="B691" s="76"/>
      <c r="D691" s="11" t="s">
        <v>1485</v>
      </c>
      <c r="E691" s="11">
        <v>690.0</v>
      </c>
    </row>
    <row r="692">
      <c r="B692" s="76"/>
      <c r="D692" s="11" t="s">
        <v>1486</v>
      </c>
      <c r="E692" s="11">
        <v>691.0</v>
      </c>
    </row>
    <row r="693">
      <c r="B693" s="76"/>
      <c r="D693" s="11" t="s">
        <v>1487</v>
      </c>
      <c r="E693" s="11">
        <v>692.0</v>
      </c>
    </row>
    <row r="694">
      <c r="B694" s="76"/>
      <c r="D694" s="11" t="s">
        <v>1488</v>
      </c>
      <c r="E694" s="11">
        <v>693.0</v>
      </c>
    </row>
    <row r="695">
      <c r="B695" s="76"/>
      <c r="D695" s="11" t="s">
        <v>1489</v>
      </c>
      <c r="E695" s="11">
        <v>694.0</v>
      </c>
    </row>
    <row r="696">
      <c r="B696" s="76"/>
      <c r="D696" s="11" t="s">
        <v>1490</v>
      </c>
      <c r="E696" s="11">
        <v>695.0</v>
      </c>
    </row>
    <row r="697">
      <c r="B697" s="76"/>
      <c r="D697" s="11" t="s">
        <v>1491</v>
      </c>
      <c r="E697" s="11">
        <v>696.0</v>
      </c>
    </row>
    <row r="698">
      <c r="B698" s="76"/>
      <c r="D698" s="11" t="s">
        <v>1492</v>
      </c>
      <c r="E698" s="11">
        <v>697.0</v>
      </c>
    </row>
    <row r="699">
      <c r="B699" s="76"/>
      <c r="D699" s="11" t="s">
        <v>1493</v>
      </c>
      <c r="E699" s="11">
        <v>698.0</v>
      </c>
    </row>
    <row r="700">
      <c r="B700" s="76"/>
      <c r="D700" s="11" t="s">
        <v>1494</v>
      </c>
      <c r="E700" s="11">
        <v>699.0</v>
      </c>
    </row>
    <row r="701">
      <c r="B701" s="76"/>
      <c r="D701" s="11" t="s">
        <v>1495</v>
      </c>
      <c r="E701" s="11">
        <v>700.0</v>
      </c>
    </row>
    <row r="702">
      <c r="B702" s="76"/>
      <c r="D702" s="11" t="s">
        <v>1496</v>
      </c>
      <c r="E702" s="11">
        <v>701.0</v>
      </c>
    </row>
    <row r="703">
      <c r="B703" s="76"/>
      <c r="D703" s="11" t="s">
        <v>1497</v>
      </c>
      <c r="E703" s="11">
        <v>702.0</v>
      </c>
    </row>
    <row r="704">
      <c r="B704" s="76"/>
      <c r="D704" s="11" t="s">
        <v>1498</v>
      </c>
      <c r="E704" s="11">
        <v>703.0</v>
      </c>
    </row>
    <row r="705">
      <c r="B705" s="76"/>
      <c r="D705" s="11" t="s">
        <v>1499</v>
      </c>
      <c r="E705" s="11">
        <v>704.0</v>
      </c>
    </row>
    <row r="706">
      <c r="B706" s="76"/>
      <c r="D706" s="11" t="s">
        <v>1500</v>
      </c>
      <c r="E706" s="11">
        <v>705.0</v>
      </c>
    </row>
    <row r="707">
      <c r="B707" s="76"/>
      <c r="D707" s="11" t="s">
        <v>1501</v>
      </c>
      <c r="E707" s="11">
        <v>706.0</v>
      </c>
    </row>
    <row r="708">
      <c r="B708" s="76"/>
      <c r="D708" s="11" t="s">
        <v>1502</v>
      </c>
      <c r="E708" s="11">
        <v>707.0</v>
      </c>
    </row>
    <row r="709">
      <c r="B709" s="76"/>
      <c r="D709" s="11" t="s">
        <v>1503</v>
      </c>
      <c r="E709" s="11">
        <v>708.0</v>
      </c>
    </row>
    <row r="710">
      <c r="B710" s="76"/>
      <c r="D710" s="11" t="s">
        <v>1504</v>
      </c>
      <c r="E710" s="11">
        <v>709.0</v>
      </c>
    </row>
    <row r="711">
      <c r="B711" s="76"/>
      <c r="D711" s="11" t="s">
        <v>1505</v>
      </c>
      <c r="E711" s="11">
        <v>710.0</v>
      </c>
    </row>
    <row r="712">
      <c r="B712" s="76"/>
      <c r="D712" s="11" t="s">
        <v>1506</v>
      </c>
      <c r="E712" s="11">
        <v>711.0</v>
      </c>
    </row>
    <row r="713">
      <c r="B713" s="76"/>
      <c r="D713" s="11" t="s">
        <v>1507</v>
      </c>
      <c r="E713" s="11">
        <v>712.0</v>
      </c>
    </row>
    <row r="714">
      <c r="B714" s="76"/>
      <c r="D714" s="11" t="s">
        <v>1508</v>
      </c>
      <c r="E714" s="11">
        <v>713.0</v>
      </c>
    </row>
    <row r="715">
      <c r="B715" s="76"/>
      <c r="D715" s="11" t="s">
        <v>1509</v>
      </c>
      <c r="E715" s="11">
        <v>714.0</v>
      </c>
    </row>
    <row r="716">
      <c r="B716" s="76"/>
      <c r="D716" s="11" t="s">
        <v>1510</v>
      </c>
      <c r="E716" s="11">
        <v>715.0</v>
      </c>
    </row>
    <row r="717">
      <c r="B717" s="76"/>
      <c r="D717" s="11" t="s">
        <v>1511</v>
      </c>
      <c r="E717" s="11">
        <v>716.0</v>
      </c>
    </row>
    <row r="718">
      <c r="B718" s="76"/>
      <c r="D718" s="11" t="s">
        <v>1512</v>
      </c>
      <c r="E718" s="11">
        <v>717.0</v>
      </c>
    </row>
    <row r="719">
      <c r="B719" s="76"/>
      <c r="D719" s="11" t="s">
        <v>1513</v>
      </c>
      <c r="E719" s="11">
        <v>718.0</v>
      </c>
    </row>
    <row r="720">
      <c r="B720" s="76"/>
      <c r="D720" s="11" t="s">
        <v>1514</v>
      </c>
      <c r="E720" s="11">
        <v>719.0</v>
      </c>
    </row>
    <row r="721">
      <c r="B721" s="76"/>
      <c r="D721" s="11" t="s">
        <v>1515</v>
      </c>
      <c r="E721" s="11">
        <v>720.0</v>
      </c>
    </row>
    <row r="722">
      <c r="B722" s="76"/>
      <c r="D722" s="11" t="s">
        <v>1516</v>
      </c>
      <c r="E722" s="11">
        <v>721.0</v>
      </c>
    </row>
    <row r="723">
      <c r="B723" s="76"/>
      <c r="D723" s="11" t="s">
        <v>1517</v>
      </c>
      <c r="E723" s="11">
        <v>722.0</v>
      </c>
    </row>
    <row r="724">
      <c r="B724" s="76"/>
      <c r="D724" s="11" t="s">
        <v>1518</v>
      </c>
      <c r="E724" s="11">
        <v>723.0</v>
      </c>
    </row>
    <row r="725">
      <c r="B725" s="76"/>
      <c r="D725" s="11" t="s">
        <v>1519</v>
      </c>
      <c r="E725" s="11">
        <v>724.0</v>
      </c>
    </row>
    <row r="726">
      <c r="B726" s="76"/>
      <c r="D726" s="11" t="s">
        <v>1520</v>
      </c>
      <c r="E726" s="11">
        <v>725.0</v>
      </c>
    </row>
    <row r="727">
      <c r="B727" s="76"/>
      <c r="D727" s="11" t="s">
        <v>1521</v>
      </c>
      <c r="E727" s="11">
        <v>726.0</v>
      </c>
    </row>
    <row r="728">
      <c r="B728" s="76"/>
      <c r="D728" s="11" t="s">
        <v>1522</v>
      </c>
      <c r="E728" s="11">
        <v>727.0</v>
      </c>
    </row>
    <row r="729">
      <c r="B729" s="76"/>
      <c r="D729" s="11" t="s">
        <v>1523</v>
      </c>
      <c r="E729" s="11">
        <v>728.0</v>
      </c>
    </row>
    <row r="730">
      <c r="B730" s="76"/>
      <c r="D730" s="11" t="s">
        <v>1524</v>
      </c>
      <c r="E730" s="11">
        <v>729.0</v>
      </c>
    </row>
    <row r="731">
      <c r="B731" s="76"/>
      <c r="D731" s="11" t="s">
        <v>1525</v>
      </c>
      <c r="E731" s="11">
        <v>730.0</v>
      </c>
    </row>
    <row r="732">
      <c r="B732" s="76"/>
      <c r="D732" s="11" t="s">
        <v>1526</v>
      </c>
      <c r="E732" s="11">
        <v>731.0</v>
      </c>
    </row>
    <row r="733">
      <c r="B733" s="76"/>
      <c r="D733" s="11" t="s">
        <v>1527</v>
      </c>
      <c r="E733" s="11">
        <v>732.0</v>
      </c>
    </row>
    <row r="734">
      <c r="B734" s="76"/>
      <c r="D734" s="11" t="s">
        <v>1528</v>
      </c>
      <c r="E734" s="11">
        <v>733.0</v>
      </c>
    </row>
    <row r="735">
      <c r="B735" s="76"/>
      <c r="D735" s="11" t="s">
        <v>1529</v>
      </c>
      <c r="E735" s="11">
        <v>734.0</v>
      </c>
    </row>
    <row r="736">
      <c r="B736" s="76"/>
      <c r="D736" s="11" t="s">
        <v>1530</v>
      </c>
      <c r="E736" s="11">
        <v>735.0</v>
      </c>
    </row>
    <row r="737">
      <c r="B737" s="76"/>
      <c r="D737" s="11" t="s">
        <v>1531</v>
      </c>
      <c r="E737" s="11">
        <v>736.0</v>
      </c>
    </row>
    <row r="738">
      <c r="B738" s="76"/>
      <c r="D738" s="11" t="s">
        <v>1532</v>
      </c>
      <c r="E738" s="11">
        <v>737.0</v>
      </c>
    </row>
    <row r="739">
      <c r="B739" s="76"/>
      <c r="D739" s="11" t="s">
        <v>1533</v>
      </c>
      <c r="E739" s="11">
        <v>738.0</v>
      </c>
    </row>
    <row r="740">
      <c r="B740" s="76"/>
      <c r="D740" s="11" t="s">
        <v>1534</v>
      </c>
      <c r="E740" s="11">
        <v>739.0</v>
      </c>
    </row>
    <row r="741">
      <c r="B741" s="76"/>
      <c r="D741" s="11" t="s">
        <v>1535</v>
      </c>
      <c r="E741" s="11">
        <v>740.0</v>
      </c>
    </row>
    <row r="742">
      <c r="B742" s="76"/>
      <c r="D742" s="11" t="s">
        <v>1536</v>
      </c>
      <c r="E742" s="11">
        <v>741.0</v>
      </c>
    </row>
    <row r="743">
      <c r="B743" s="76"/>
      <c r="D743" s="11" t="s">
        <v>1537</v>
      </c>
      <c r="E743" s="11">
        <v>742.0</v>
      </c>
    </row>
    <row r="744">
      <c r="B744" s="76"/>
      <c r="D744" s="11" t="s">
        <v>1538</v>
      </c>
      <c r="E744" s="11">
        <v>743.0</v>
      </c>
    </row>
    <row r="745">
      <c r="B745" s="76"/>
      <c r="D745" s="11" t="s">
        <v>1539</v>
      </c>
      <c r="E745" s="11">
        <v>744.0</v>
      </c>
    </row>
    <row r="746">
      <c r="B746" s="76"/>
      <c r="D746" s="11" t="s">
        <v>1540</v>
      </c>
      <c r="E746" s="11">
        <v>745.0</v>
      </c>
    </row>
    <row r="747">
      <c r="B747" s="76"/>
      <c r="D747" s="11" t="s">
        <v>1541</v>
      </c>
      <c r="E747" s="11">
        <v>746.0</v>
      </c>
    </row>
    <row r="748">
      <c r="B748" s="76"/>
      <c r="D748" s="11" t="s">
        <v>1542</v>
      </c>
      <c r="E748" s="11">
        <v>747.0</v>
      </c>
    </row>
    <row r="749">
      <c r="B749" s="76"/>
      <c r="D749" s="11" t="s">
        <v>1543</v>
      </c>
      <c r="E749" s="11">
        <v>748.0</v>
      </c>
    </row>
    <row r="750">
      <c r="B750" s="76"/>
      <c r="D750" s="11" t="s">
        <v>1544</v>
      </c>
      <c r="E750" s="11">
        <v>749.0</v>
      </c>
    </row>
    <row r="751">
      <c r="B751" s="76"/>
      <c r="D751" s="11" t="s">
        <v>1545</v>
      </c>
      <c r="E751" s="11">
        <v>750.0</v>
      </c>
    </row>
    <row r="752">
      <c r="B752" s="76"/>
      <c r="D752" s="11" t="s">
        <v>1546</v>
      </c>
      <c r="E752" s="11">
        <v>751.0</v>
      </c>
    </row>
    <row r="753">
      <c r="B753" s="76"/>
      <c r="D753" s="11" t="s">
        <v>1547</v>
      </c>
      <c r="E753" s="11">
        <v>752.0</v>
      </c>
    </row>
    <row r="754">
      <c r="B754" s="76"/>
      <c r="D754" s="11" t="s">
        <v>1548</v>
      </c>
      <c r="E754" s="11">
        <v>753.0</v>
      </c>
    </row>
    <row r="755">
      <c r="B755" s="76"/>
      <c r="D755" s="11" t="s">
        <v>1549</v>
      </c>
      <c r="E755" s="11">
        <v>754.0</v>
      </c>
    </row>
    <row r="756">
      <c r="B756" s="76"/>
      <c r="D756" s="11" t="s">
        <v>1550</v>
      </c>
      <c r="E756" s="11">
        <v>755.0</v>
      </c>
    </row>
    <row r="757">
      <c r="B757" s="76"/>
      <c r="D757" s="11" t="s">
        <v>1551</v>
      </c>
      <c r="E757" s="11">
        <v>756.0</v>
      </c>
    </row>
    <row r="758">
      <c r="B758" s="76"/>
      <c r="D758" s="11" t="s">
        <v>1552</v>
      </c>
      <c r="E758" s="11">
        <v>757.0</v>
      </c>
    </row>
    <row r="759">
      <c r="B759" s="76"/>
      <c r="D759" s="11" t="s">
        <v>1553</v>
      </c>
      <c r="E759" s="11">
        <v>758.0</v>
      </c>
    </row>
    <row r="760">
      <c r="B760" s="76"/>
      <c r="D760" s="11" t="s">
        <v>1554</v>
      </c>
      <c r="E760" s="11">
        <v>759.0</v>
      </c>
    </row>
    <row r="761">
      <c r="B761" s="76"/>
      <c r="D761" s="11" t="s">
        <v>1555</v>
      </c>
      <c r="E761" s="11">
        <v>760.0</v>
      </c>
    </row>
    <row r="762">
      <c r="B762" s="76"/>
      <c r="D762" s="11" t="s">
        <v>1556</v>
      </c>
      <c r="E762" s="11">
        <v>761.0</v>
      </c>
    </row>
    <row r="763">
      <c r="B763" s="76"/>
      <c r="D763" s="11" t="s">
        <v>1557</v>
      </c>
      <c r="E763" s="11">
        <v>762.0</v>
      </c>
    </row>
    <row r="764">
      <c r="B764" s="76"/>
      <c r="D764" s="11" t="s">
        <v>1558</v>
      </c>
      <c r="E764" s="11">
        <v>763.0</v>
      </c>
    </row>
    <row r="765">
      <c r="B765" s="76"/>
      <c r="D765" s="11" t="s">
        <v>1559</v>
      </c>
      <c r="E765" s="11">
        <v>764.0</v>
      </c>
    </row>
    <row r="766">
      <c r="B766" s="76"/>
      <c r="D766" s="11" t="s">
        <v>1560</v>
      </c>
      <c r="E766" s="11">
        <v>765.0</v>
      </c>
    </row>
    <row r="767">
      <c r="B767" s="76"/>
      <c r="D767" s="11" t="s">
        <v>1561</v>
      </c>
      <c r="E767" s="11">
        <v>766.0</v>
      </c>
    </row>
    <row r="768">
      <c r="B768" s="76"/>
      <c r="D768" s="11" t="s">
        <v>1562</v>
      </c>
      <c r="E768" s="11">
        <v>767.0</v>
      </c>
    </row>
    <row r="769">
      <c r="B769" s="76"/>
      <c r="D769" s="11" t="s">
        <v>1563</v>
      </c>
      <c r="E769" s="11">
        <v>768.0</v>
      </c>
    </row>
    <row r="770">
      <c r="B770" s="76"/>
      <c r="D770" s="11" t="s">
        <v>1564</v>
      </c>
      <c r="E770" s="11">
        <v>769.0</v>
      </c>
    </row>
    <row r="771">
      <c r="B771" s="76"/>
      <c r="D771" s="11" t="s">
        <v>1565</v>
      </c>
      <c r="E771" s="11">
        <v>770.0</v>
      </c>
    </row>
    <row r="772">
      <c r="B772" s="76"/>
      <c r="D772" s="11" t="s">
        <v>1566</v>
      </c>
      <c r="E772" s="11">
        <v>771.0</v>
      </c>
    </row>
    <row r="773">
      <c r="B773" s="76"/>
      <c r="D773" s="11" t="s">
        <v>1567</v>
      </c>
      <c r="E773" s="11">
        <v>772.0</v>
      </c>
    </row>
    <row r="774">
      <c r="B774" s="76"/>
      <c r="D774" s="11" t="s">
        <v>1568</v>
      </c>
      <c r="E774" s="11">
        <v>773.0</v>
      </c>
    </row>
    <row r="775">
      <c r="B775" s="76"/>
      <c r="D775" s="11" t="s">
        <v>1569</v>
      </c>
      <c r="E775" s="11">
        <v>774.0</v>
      </c>
    </row>
    <row r="776">
      <c r="B776" s="76"/>
      <c r="D776" s="11" t="s">
        <v>1570</v>
      </c>
      <c r="E776" s="11">
        <v>775.0</v>
      </c>
    </row>
    <row r="777">
      <c r="B777" s="76"/>
      <c r="D777" s="11" t="s">
        <v>1571</v>
      </c>
      <c r="E777" s="11">
        <v>776.0</v>
      </c>
    </row>
    <row r="778">
      <c r="B778" s="76"/>
      <c r="D778" s="11" t="s">
        <v>1572</v>
      </c>
      <c r="E778" s="11">
        <v>777.0</v>
      </c>
    </row>
    <row r="779">
      <c r="B779" s="76"/>
      <c r="D779" s="11" t="s">
        <v>1573</v>
      </c>
      <c r="E779" s="11">
        <v>778.0</v>
      </c>
    </row>
    <row r="780">
      <c r="B780" s="76"/>
      <c r="D780" s="11" t="s">
        <v>1574</v>
      </c>
      <c r="E780" s="11">
        <v>779.0</v>
      </c>
    </row>
    <row r="781">
      <c r="B781" s="76"/>
      <c r="D781" s="11" t="s">
        <v>1575</v>
      </c>
      <c r="E781" s="11">
        <v>780.0</v>
      </c>
    </row>
    <row r="782">
      <c r="B782" s="76"/>
      <c r="D782" s="11" t="s">
        <v>1576</v>
      </c>
      <c r="E782" s="11">
        <v>781.0</v>
      </c>
    </row>
    <row r="783">
      <c r="B783" s="76"/>
      <c r="D783" s="11" t="s">
        <v>1577</v>
      </c>
      <c r="E783" s="11">
        <v>782.0</v>
      </c>
    </row>
    <row r="784">
      <c r="B784" s="76"/>
      <c r="D784" s="11" t="s">
        <v>1578</v>
      </c>
      <c r="E784" s="11">
        <v>783.0</v>
      </c>
    </row>
    <row r="785">
      <c r="B785" s="76"/>
      <c r="D785" s="11" t="s">
        <v>1579</v>
      </c>
      <c r="E785" s="11">
        <v>784.0</v>
      </c>
    </row>
    <row r="786">
      <c r="B786" s="76"/>
      <c r="D786" s="11" t="s">
        <v>1580</v>
      </c>
      <c r="E786" s="11">
        <v>785.0</v>
      </c>
    </row>
    <row r="787">
      <c r="B787" s="76"/>
      <c r="D787" s="11" t="s">
        <v>1581</v>
      </c>
      <c r="E787" s="11">
        <v>786.0</v>
      </c>
    </row>
    <row r="788">
      <c r="B788" s="76"/>
      <c r="D788" s="11" t="s">
        <v>1582</v>
      </c>
      <c r="E788" s="11">
        <v>787.0</v>
      </c>
    </row>
    <row r="789">
      <c r="B789" s="76"/>
      <c r="D789" s="11" t="s">
        <v>1583</v>
      </c>
      <c r="E789" s="11">
        <v>788.0</v>
      </c>
    </row>
    <row r="790">
      <c r="B790" s="76"/>
      <c r="D790" s="11" t="s">
        <v>1584</v>
      </c>
      <c r="E790" s="11">
        <v>789.0</v>
      </c>
    </row>
    <row r="791">
      <c r="B791" s="76"/>
      <c r="D791" s="11" t="s">
        <v>1585</v>
      </c>
      <c r="E791" s="11">
        <v>790.0</v>
      </c>
    </row>
    <row r="792">
      <c r="B792" s="76"/>
      <c r="D792" s="11" t="s">
        <v>1586</v>
      </c>
      <c r="E792" s="11">
        <v>791.0</v>
      </c>
    </row>
    <row r="793">
      <c r="B793" s="76"/>
      <c r="D793" s="11" t="s">
        <v>1587</v>
      </c>
      <c r="E793" s="11">
        <v>792.0</v>
      </c>
    </row>
    <row r="794">
      <c r="B794" s="76"/>
      <c r="D794" s="11" t="s">
        <v>1588</v>
      </c>
      <c r="E794" s="11">
        <v>793.0</v>
      </c>
    </row>
    <row r="795">
      <c r="B795" s="76"/>
      <c r="D795" s="11" t="s">
        <v>1589</v>
      </c>
      <c r="E795" s="11">
        <v>794.0</v>
      </c>
    </row>
    <row r="796">
      <c r="B796" s="76"/>
      <c r="D796" s="11" t="s">
        <v>1590</v>
      </c>
      <c r="E796" s="11">
        <v>795.0</v>
      </c>
    </row>
    <row r="797">
      <c r="B797" s="76"/>
      <c r="D797" s="11" t="s">
        <v>1591</v>
      </c>
      <c r="E797" s="11">
        <v>796.0</v>
      </c>
    </row>
    <row r="798">
      <c r="B798" s="76"/>
      <c r="D798" s="11" t="s">
        <v>1592</v>
      </c>
      <c r="E798" s="11">
        <v>797.0</v>
      </c>
    </row>
    <row r="799">
      <c r="B799" s="76"/>
      <c r="D799" s="11" t="s">
        <v>1593</v>
      </c>
      <c r="E799" s="11">
        <v>798.0</v>
      </c>
    </row>
    <row r="800">
      <c r="B800" s="76"/>
      <c r="D800" s="11" t="s">
        <v>1594</v>
      </c>
      <c r="E800" s="11">
        <v>799.0</v>
      </c>
    </row>
    <row r="801">
      <c r="B801" s="76"/>
      <c r="D801" s="11" t="s">
        <v>1595</v>
      </c>
      <c r="E801" s="11">
        <v>800.0</v>
      </c>
    </row>
    <row r="802">
      <c r="B802" s="76"/>
      <c r="D802" s="11" t="s">
        <v>1596</v>
      </c>
      <c r="E802" s="11">
        <v>801.0</v>
      </c>
    </row>
    <row r="803">
      <c r="B803" s="76"/>
      <c r="D803" s="11" t="s">
        <v>1597</v>
      </c>
      <c r="E803" s="11">
        <v>802.0</v>
      </c>
    </row>
    <row r="804">
      <c r="B804" s="76"/>
      <c r="D804" s="11" t="s">
        <v>1598</v>
      </c>
      <c r="E804" s="11">
        <v>803.0</v>
      </c>
    </row>
    <row r="805">
      <c r="B805" s="76"/>
      <c r="D805" s="11" t="s">
        <v>1599</v>
      </c>
      <c r="E805" s="11">
        <v>804.0</v>
      </c>
    </row>
    <row r="806">
      <c r="B806" s="76"/>
      <c r="D806" s="11" t="s">
        <v>1600</v>
      </c>
      <c r="E806" s="11">
        <v>805.0</v>
      </c>
    </row>
    <row r="807">
      <c r="B807" s="76"/>
      <c r="D807" s="11" t="s">
        <v>1601</v>
      </c>
      <c r="E807" s="11">
        <v>806.0</v>
      </c>
    </row>
    <row r="808">
      <c r="B808" s="76"/>
      <c r="D808" s="11" t="s">
        <v>1602</v>
      </c>
      <c r="E808" s="11">
        <v>807.0</v>
      </c>
    </row>
    <row r="809">
      <c r="B809" s="76"/>
      <c r="D809" s="11" t="s">
        <v>1603</v>
      </c>
      <c r="E809" s="11">
        <v>808.0</v>
      </c>
    </row>
    <row r="810">
      <c r="B810" s="76"/>
      <c r="D810" s="11" t="s">
        <v>1604</v>
      </c>
      <c r="E810" s="11">
        <v>809.0</v>
      </c>
    </row>
    <row r="811">
      <c r="B811" s="76"/>
      <c r="D811" s="11" t="s">
        <v>1605</v>
      </c>
      <c r="E811" s="11">
        <v>810.0</v>
      </c>
    </row>
    <row r="812">
      <c r="B812" s="76"/>
      <c r="D812" s="11" t="s">
        <v>1606</v>
      </c>
      <c r="E812" s="11">
        <v>811.0</v>
      </c>
    </row>
    <row r="813">
      <c r="B813" s="76"/>
      <c r="D813" s="11" t="s">
        <v>1607</v>
      </c>
      <c r="E813" s="11">
        <v>812.0</v>
      </c>
    </row>
    <row r="814">
      <c r="B814" s="76"/>
    </row>
    <row r="815">
      <c r="B815" s="76"/>
    </row>
    <row r="816">
      <c r="B816" s="76"/>
    </row>
    <row r="817">
      <c r="B817" s="76"/>
    </row>
    <row r="818">
      <c r="B818" s="76"/>
    </row>
    <row r="819">
      <c r="B819" s="76"/>
    </row>
    <row r="820">
      <c r="B820" s="76"/>
    </row>
    <row r="821">
      <c r="B821" s="76"/>
    </row>
    <row r="822">
      <c r="B822" s="76"/>
    </row>
    <row r="823">
      <c r="B823" s="76"/>
    </row>
    <row r="824">
      <c r="B824" s="76"/>
    </row>
    <row r="825">
      <c r="B825" s="76"/>
    </row>
    <row r="826">
      <c r="B826" s="76"/>
    </row>
    <row r="827">
      <c r="B827" s="76"/>
    </row>
    <row r="828">
      <c r="B828" s="76"/>
    </row>
    <row r="829">
      <c r="B829" s="76"/>
    </row>
    <row r="830">
      <c r="B830" s="76"/>
    </row>
    <row r="831">
      <c r="B831" s="76"/>
    </row>
    <row r="832">
      <c r="B832" s="76"/>
    </row>
    <row r="833">
      <c r="B833" s="76"/>
    </row>
    <row r="834">
      <c r="B834" s="76"/>
    </row>
    <row r="835">
      <c r="B835" s="76"/>
    </row>
    <row r="836">
      <c r="B836" s="76"/>
    </row>
    <row r="837">
      <c r="B837" s="76"/>
    </row>
    <row r="838">
      <c r="B838" s="76"/>
    </row>
    <row r="839">
      <c r="B839" s="76"/>
    </row>
    <row r="840">
      <c r="B840" s="76"/>
    </row>
    <row r="841">
      <c r="B841" s="76"/>
    </row>
    <row r="842">
      <c r="B842" s="76"/>
    </row>
    <row r="843">
      <c r="B843" s="76"/>
    </row>
    <row r="844">
      <c r="B844" s="76"/>
    </row>
    <row r="845">
      <c r="B845" s="76"/>
    </row>
    <row r="846">
      <c r="B846" s="76"/>
    </row>
    <row r="847">
      <c r="B847" s="76"/>
    </row>
    <row r="848">
      <c r="B848" s="76"/>
    </row>
    <row r="849">
      <c r="B849" s="76"/>
    </row>
    <row r="850">
      <c r="B850" s="76"/>
    </row>
    <row r="851">
      <c r="B851" s="76"/>
    </row>
    <row r="852">
      <c r="B852" s="76"/>
    </row>
    <row r="853">
      <c r="B853" s="76"/>
    </row>
    <row r="854">
      <c r="B854" s="76"/>
    </row>
    <row r="855">
      <c r="B855" s="76"/>
    </row>
    <row r="856">
      <c r="B856" s="76"/>
    </row>
    <row r="857">
      <c r="B857" s="76"/>
    </row>
    <row r="858">
      <c r="B858" s="76"/>
    </row>
    <row r="859">
      <c r="B859" s="76"/>
    </row>
    <row r="860">
      <c r="B860" s="76"/>
    </row>
    <row r="861">
      <c r="B861" s="76"/>
    </row>
    <row r="862">
      <c r="B862" s="76"/>
    </row>
    <row r="863">
      <c r="B863" s="76"/>
    </row>
    <row r="864">
      <c r="B864" s="76"/>
    </row>
    <row r="865">
      <c r="B865" s="76"/>
    </row>
    <row r="866">
      <c r="B866" s="76"/>
    </row>
    <row r="867">
      <c r="B867" s="76"/>
    </row>
    <row r="868">
      <c r="B868" s="76"/>
    </row>
    <row r="869">
      <c r="B869" s="76"/>
    </row>
    <row r="870">
      <c r="B870" s="76"/>
    </row>
    <row r="871">
      <c r="B871" s="76"/>
    </row>
    <row r="872">
      <c r="B872" s="76"/>
    </row>
    <row r="873">
      <c r="B873" s="76"/>
    </row>
    <row r="874">
      <c r="B874" s="76"/>
    </row>
    <row r="875">
      <c r="B875" s="76"/>
    </row>
    <row r="876">
      <c r="B876" s="76"/>
    </row>
    <row r="877">
      <c r="B877" s="76"/>
    </row>
    <row r="878">
      <c r="B878" s="76"/>
    </row>
    <row r="879">
      <c r="B879" s="76"/>
    </row>
    <row r="880">
      <c r="B880" s="76"/>
    </row>
    <row r="881">
      <c r="B881" s="76"/>
    </row>
    <row r="882">
      <c r="B882" s="76"/>
    </row>
    <row r="883">
      <c r="B883" s="76"/>
    </row>
    <row r="884">
      <c r="B884" s="76"/>
    </row>
    <row r="885">
      <c r="B885" s="76"/>
    </row>
    <row r="886">
      <c r="B886" s="76"/>
    </row>
    <row r="887">
      <c r="B887" s="76"/>
    </row>
    <row r="888">
      <c r="B888" s="76"/>
    </row>
    <row r="889">
      <c r="B889" s="76"/>
    </row>
    <row r="890">
      <c r="B890" s="76"/>
    </row>
    <row r="891">
      <c r="B891" s="76"/>
    </row>
    <row r="892">
      <c r="B892" s="76"/>
    </row>
    <row r="893">
      <c r="B893" s="76"/>
    </row>
    <row r="894">
      <c r="B894" s="76"/>
    </row>
    <row r="895">
      <c r="B895" s="76"/>
    </row>
    <row r="896">
      <c r="B896" s="76"/>
    </row>
    <row r="897">
      <c r="B897" s="76"/>
    </row>
    <row r="898">
      <c r="B898" s="76"/>
    </row>
    <row r="899">
      <c r="B899" s="76"/>
    </row>
    <row r="900">
      <c r="B900" s="76"/>
    </row>
    <row r="901">
      <c r="B901" s="76"/>
    </row>
    <row r="902">
      <c r="B902" s="76"/>
    </row>
    <row r="903">
      <c r="B903" s="76"/>
    </row>
    <row r="904">
      <c r="B904" s="76"/>
    </row>
    <row r="905">
      <c r="B905" s="76"/>
    </row>
    <row r="906">
      <c r="B906" s="76"/>
    </row>
    <row r="907">
      <c r="B907" s="76"/>
    </row>
    <row r="908">
      <c r="B908" s="76"/>
    </row>
    <row r="909">
      <c r="B909" s="76"/>
    </row>
    <row r="910">
      <c r="B910" s="76"/>
    </row>
    <row r="911">
      <c r="B911" s="76"/>
    </row>
    <row r="912">
      <c r="B912" s="76"/>
    </row>
    <row r="913">
      <c r="B913" s="76"/>
    </row>
    <row r="914">
      <c r="B914" s="76"/>
    </row>
    <row r="915">
      <c r="B915" s="76"/>
    </row>
    <row r="916">
      <c r="B916" s="76"/>
    </row>
    <row r="917">
      <c r="B917" s="76"/>
    </row>
    <row r="918">
      <c r="B918" s="76"/>
    </row>
    <row r="919">
      <c r="B919" s="76"/>
    </row>
    <row r="920">
      <c r="B920" s="76"/>
    </row>
    <row r="921">
      <c r="B921" s="76"/>
    </row>
    <row r="922">
      <c r="B922" s="76"/>
    </row>
    <row r="923">
      <c r="B923" s="76"/>
    </row>
    <row r="924">
      <c r="B924" s="76"/>
    </row>
    <row r="925">
      <c r="B925" s="76"/>
    </row>
    <row r="926">
      <c r="B926" s="76"/>
    </row>
    <row r="927">
      <c r="B927" s="76"/>
    </row>
    <row r="928">
      <c r="B928" s="76"/>
    </row>
    <row r="929">
      <c r="B929" s="76"/>
    </row>
    <row r="930">
      <c r="B930" s="76"/>
    </row>
    <row r="931">
      <c r="B931" s="76"/>
    </row>
    <row r="932">
      <c r="B932" s="76"/>
    </row>
    <row r="933">
      <c r="B933" s="76"/>
    </row>
    <row r="934">
      <c r="B934" s="76"/>
    </row>
    <row r="935">
      <c r="B935" s="76"/>
    </row>
    <row r="936">
      <c r="B936" s="76"/>
    </row>
    <row r="937">
      <c r="B937" s="76"/>
    </row>
    <row r="938">
      <c r="B938" s="76"/>
    </row>
    <row r="939">
      <c r="B939" s="76"/>
    </row>
    <row r="940">
      <c r="B940" s="76"/>
    </row>
    <row r="941">
      <c r="B941" s="76"/>
    </row>
    <row r="942">
      <c r="B942" s="76"/>
    </row>
    <row r="943">
      <c r="B943" s="76"/>
    </row>
    <row r="944">
      <c r="B944" s="76"/>
    </row>
    <row r="945">
      <c r="B945" s="76"/>
    </row>
    <row r="946">
      <c r="B946" s="76"/>
    </row>
    <row r="947">
      <c r="B947" s="76"/>
    </row>
    <row r="948">
      <c r="B948" s="76"/>
    </row>
    <row r="949">
      <c r="B949" s="76"/>
    </row>
    <row r="950">
      <c r="B950" s="76"/>
    </row>
    <row r="951">
      <c r="B951" s="76"/>
    </row>
    <row r="952">
      <c r="B952" s="76"/>
    </row>
    <row r="953">
      <c r="B953" s="76"/>
    </row>
    <row r="954">
      <c r="B954" s="76"/>
    </row>
    <row r="955">
      <c r="B955" s="76"/>
    </row>
    <row r="956">
      <c r="B956" s="76"/>
    </row>
    <row r="957">
      <c r="B957" s="76"/>
    </row>
    <row r="958">
      <c r="B958" s="76"/>
    </row>
    <row r="959">
      <c r="B959" s="76"/>
    </row>
    <row r="960">
      <c r="B960" s="76"/>
    </row>
    <row r="961">
      <c r="B961" s="76"/>
    </row>
    <row r="962">
      <c r="B962" s="76"/>
    </row>
    <row r="963">
      <c r="B963" s="76"/>
    </row>
    <row r="964">
      <c r="B964" s="76"/>
    </row>
    <row r="965">
      <c r="B965" s="76"/>
    </row>
    <row r="966">
      <c r="B966" s="76"/>
    </row>
    <row r="967">
      <c r="B967" s="76"/>
    </row>
    <row r="968">
      <c r="B968" s="76"/>
    </row>
    <row r="969">
      <c r="B969" s="76"/>
    </row>
    <row r="970">
      <c r="B970" s="76"/>
    </row>
    <row r="971">
      <c r="B971" s="76"/>
    </row>
    <row r="972">
      <c r="B972" s="76"/>
    </row>
    <row r="973">
      <c r="B973" s="76"/>
    </row>
    <row r="974">
      <c r="B974" s="76"/>
    </row>
    <row r="975">
      <c r="B975" s="76"/>
    </row>
    <row r="976">
      <c r="B976" s="76"/>
    </row>
    <row r="977">
      <c r="B977" s="76"/>
    </row>
    <row r="978">
      <c r="B978" s="76"/>
    </row>
    <row r="979">
      <c r="B979" s="76"/>
    </row>
    <row r="980">
      <c r="B980" s="76"/>
    </row>
    <row r="981">
      <c r="B981" s="76"/>
    </row>
    <row r="982">
      <c r="B982" s="76"/>
    </row>
    <row r="983">
      <c r="B983" s="76"/>
    </row>
    <row r="984">
      <c r="B984" s="76"/>
    </row>
    <row r="985">
      <c r="B985" s="76"/>
    </row>
    <row r="986">
      <c r="B986" s="76"/>
    </row>
    <row r="987">
      <c r="B987" s="76"/>
    </row>
    <row r="988">
      <c r="B988" s="76"/>
    </row>
    <row r="989">
      <c r="B989" s="76"/>
    </row>
    <row r="990">
      <c r="B990" s="76"/>
    </row>
    <row r="991">
      <c r="B991" s="76"/>
    </row>
    <row r="992">
      <c r="B992" s="76"/>
    </row>
    <row r="993">
      <c r="B993" s="76"/>
    </row>
    <row r="994">
      <c r="B994" s="76"/>
    </row>
    <row r="995">
      <c r="B995" s="76"/>
    </row>
    <row r="996">
      <c r="B996" s="76"/>
    </row>
    <row r="997">
      <c r="B997" s="76"/>
    </row>
    <row r="998">
      <c r="B998" s="76"/>
    </row>
    <row r="999">
      <c r="B999" s="76"/>
    </row>
    <row r="1000">
      <c r="B1000" s="76"/>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5.0"/>
  </cols>
  <sheetData>
    <row r="1">
      <c r="A1" s="74" t="s">
        <v>35</v>
      </c>
      <c r="B1" s="74" t="s">
        <v>689</v>
      </c>
      <c r="C1" s="74" t="s">
        <v>1608</v>
      </c>
      <c r="D1" s="74" t="s">
        <v>1609</v>
      </c>
      <c r="E1" s="74" t="s">
        <v>1610</v>
      </c>
      <c r="F1" s="74" t="s">
        <v>1611</v>
      </c>
      <c r="G1" s="74" t="s">
        <v>1612</v>
      </c>
      <c r="H1" s="74" t="s">
        <v>1613</v>
      </c>
      <c r="I1" s="74" t="s">
        <v>1614</v>
      </c>
      <c r="J1" s="74" t="s">
        <v>1615</v>
      </c>
      <c r="K1" s="74" t="s">
        <v>1616</v>
      </c>
      <c r="L1" s="74" t="s">
        <v>1617</v>
      </c>
      <c r="M1" s="74" t="s">
        <v>1618</v>
      </c>
      <c r="N1" s="74" t="s">
        <v>1619</v>
      </c>
      <c r="O1" s="74" t="s">
        <v>1620</v>
      </c>
      <c r="P1" s="74" t="s">
        <v>1621</v>
      </c>
      <c r="Q1" s="74" t="s">
        <v>1622</v>
      </c>
      <c r="R1" s="74" t="s">
        <v>1623</v>
      </c>
      <c r="S1" s="74" t="s">
        <v>1624</v>
      </c>
      <c r="T1" s="74" t="s">
        <v>1625</v>
      </c>
      <c r="U1" s="74" t="s">
        <v>1626</v>
      </c>
      <c r="V1" s="74" t="s">
        <v>1627</v>
      </c>
      <c r="W1" s="74" t="s">
        <v>1628</v>
      </c>
    </row>
    <row r="2">
      <c r="A2" s="11" t="s">
        <v>121</v>
      </c>
      <c r="B2" s="11">
        <v>1.0</v>
      </c>
      <c r="C2" s="11" t="s">
        <v>1629</v>
      </c>
      <c r="D2" s="11" t="s">
        <v>1630</v>
      </c>
      <c r="E2" s="11">
        <v>2.0</v>
      </c>
      <c r="F2" s="11" t="s">
        <v>1631</v>
      </c>
      <c r="G2" s="11">
        <v>3.0</v>
      </c>
    </row>
    <row r="3">
      <c r="A3" s="11" t="s">
        <v>121</v>
      </c>
      <c r="B3" s="11">
        <v>1.0</v>
      </c>
      <c r="C3" s="11" t="s">
        <v>634</v>
      </c>
      <c r="D3" s="11" t="s">
        <v>1630</v>
      </c>
      <c r="E3" s="11">
        <v>2.0</v>
      </c>
      <c r="F3" s="11" t="s">
        <v>1631</v>
      </c>
      <c r="G3" s="11">
        <v>3.0</v>
      </c>
    </row>
    <row r="4">
      <c r="A4" s="11" t="s">
        <v>113</v>
      </c>
      <c r="B4" s="11">
        <v>1.0</v>
      </c>
      <c r="C4" s="11" t="s">
        <v>1629</v>
      </c>
      <c r="D4" s="11" t="s">
        <v>1630</v>
      </c>
      <c r="E4" s="11">
        <v>1.0</v>
      </c>
      <c r="F4" s="11" t="s">
        <v>1631</v>
      </c>
      <c r="G4" s="11">
        <v>1.0</v>
      </c>
    </row>
    <row r="5">
      <c r="A5" s="11" t="s">
        <v>113</v>
      </c>
      <c r="B5" s="11">
        <v>1.0</v>
      </c>
      <c r="C5" s="11" t="s">
        <v>634</v>
      </c>
      <c r="D5" s="11" t="s">
        <v>1630</v>
      </c>
      <c r="E5" s="11">
        <v>1.0</v>
      </c>
      <c r="F5" s="11" t="s">
        <v>1631</v>
      </c>
      <c r="G5" s="11">
        <v>1.0</v>
      </c>
    </row>
    <row r="6">
      <c r="A6" s="11" t="s">
        <v>136</v>
      </c>
      <c r="B6" s="11">
        <v>1.0</v>
      </c>
      <c r="C6" s="11" t="s">
        <v>1629</v>
      </c>
      <c r="D6" s="11" t="s">
        <v>1632</v>
      </c>
      <c r="E6" s="11">
        <v>3.0</v>
      </c>
      <c r="F6" s="11" t="s">
        <v>1630</v>
      </c>
      <c r="G6" s="11">
        <v>1.0</v>
      </c>
      <c r="H6" s="11" t="s">
        <v>1633</v>
      </c>
      <c r="I6" s="11">
        <v>1.0</v>
      </c>
      <c r="J6" s="11" t="s">
        <v>1634</v>
      </c>
      <c r="K6" s="11">
        <v>1.0</v>
      </c>
      <c r="L6" s="11" t="s">
        <v>1635</v>
      </c>
      <c r="M6" s="11">
        <v>1.0</v>
      </c>
    </row>
    <row r="7">
      <c r="A7" s="11" t="s">
        <v>4</v>
      </c>
      <c r="B7" s="11">
        <v>1.0</v>
      </c>
      <c r="C7" s="11" t="s">
        <v>1629</v>
      </c>
      <c r="D7" s="11" t="s">
        <v>1631</v>
      </c>
      <c r="E7" s="11">
        <v>2.0</v>
      </c>
      <c r="F7" s="11" t="s">
        <v>1634</v>
      </c>
      <c r="G7" s="11">
        <v>1.0</v>
      </c>
      <c r="H7" s="11" t="s">
        <v>1636</v>
      </c>
      <c r="I7" s="11">
        <v>1.0</v>
      </c>
    </row>
    <row r="8">
      <c r="A8" s="11" t="s">
        <v>4</v>
      </c>
      <c r="B8" s="11">
        <v>1.0</v>
      </c>
      <c r="C8" s="11" t="s">
        <v>634</v>
      </c>
      <c r="D8" s="11" t="s">
        <v>1631</v>
      </c>
      <c r="E8" s="11">
        <v>2.0</v>
      </c>
      <c r="F8" s="11" t="s">
        <v>1634</v>
      </c>
      <c r="G8" s="11">
        <v>1.0</v>
      </c>
      <c r="H8" s="11" t="s">
        <v>1636</v>
      </c>
      <c r="I8" s="11">
        <v>1.0</v>
      </c>
    </row>
    <row r="9">
      <c r="A9" s="11" t="s">
        <v>145</v>
      </c>
      <c r="B9" s="11">
        <v>1.0</v>
      </c>
      <c r="C9" s="11" t="s">
        <v>1637</v>
      </c>
      <c r="D9" s="11" t="s">
        <v>1631</v>
      </c>
      <c r="E9" s="11">
        <v>2.0</v>
      </c>
      <c r="F9" s="11" t="s">
        <v>1638</v>
      </c>
      <c r="G9" s="11">
        <v>1.0</v>
      </c>
      <c r="H9" s="11" t="s">
        <v>1639</v>
      </c>
      <c r="I9" s="11">
        <v>1.0</v>
      </c>
    </row>
    <row r="10">
      <c r="A10" s="11" t="s">
        <v>145</v>
      </c>
      <c r="B10" s="11">
        <v>1.0</v>
      </c>
      <c r="C10" s="11" t="s">
        <v>634</v>
      </c>
      <c r="D10" s="11" t="s">
        <v>1631</v>
      </c>
      <c r="E10" s="11">
        <v>2.0</v>
      </c>
      <c r="F10" s="11" t="s">
        <v>1638</v>
      </c>
      <c r="G10" s="11">
        <v>1.0</v>
      </c>
      <c r="H10" s="11" t="s">
        <v>1639</v>
      </c>
      <c r="I10" s="11">
        <v>1.0</v>
      </c>
    </row>
    <row r="11">
      <c r="A11" s="11" t="s">
        <v>127</v>
      </c>
      <c r="B11" s="11">
        <v>1.0</v>
      </c>
      <c r="C11" s="11" t="s">
        <v>1637</v>
      </c>
      <c r="D11" s="11" t="s">
        <v>1640</v>
      </c>
      <c r="E11" s="11">
        <v>1.0</v>
      </c>
      <c r="F11" s="11" t="s">
        <v>1631</v>
      </c>
      <c r="G11" s="11">
        <v>2.0</v>
      </c>
    </row>
    <row r="12">
      <c r="A12" s="11" t="s">
        <v>127</v>
      </c>
      <c r="B12" s="11">
        <v>1.0</v>
      </c>
      <c r="C12" s="11" t="s">
        <v>634</v>
      </c>
      <c r="D12" s="11" t="s">
        <v>1640</v>
      </c>
      <c r="E12" s="11">
        <v>1.0</v>
      </c>
      <c r="F12" s="11" t="s">
        <v>1631</v>
      </c>
      <c r="G12" s="11">
        <v>2.0</v>
      </c>
    </row>
    <row r="13">
      <c r="A13" s="11" t="s">
        <v>1641</v>
      </c>
      <c r="B13" s="11">
        <v>1.0</v>
      </c>
      <c r="C13" s="11" t="s">
        <v>1629</v>
      </c>
      <c r="D13" s="11" t="s">
        <v>1632</v>
      </c>
      <c r="E13" s="11">
        <v>6.0</v>
      </c>
      <c r="F13" s="11" t="s">
        <v>1630</v>
      </c>
      <c r="G13" s="11">
        <v>1.0</v>
      </c>
      <c r="H13" s="11" t="s">
        <v>1633</v>
      </c>
      <c r="I13" s="11">
        <v>2.0</v>
      </c>
      <c r="J13" s="11" t="s">
        <v>1634</v>
      </c>
      <c r="K13" s="11">
        <v>2.0</v>
      </c>
      <c r="L13" s="11" t="s">
        <v>1635</v>
      </c>
      <c r="M13" s="11">
        <v>1.0</v>
      </c>
    </row>
    <row r="14">
      <c r="A14" s="11" t="s">
        <v>1642</v>
      </c>
      <c r="B14" s="11">
        <v>1.0</v>
      </c>
      <c r="C14" s="11" t="s">
        <v>1629</v>
      </c>
      <c r="D14" s="11" t="s">
        <v>1631</v>
      </c>
      <c r="E14" s="11">
        <v>3.0</v>
      </c>
      <c r="F14" s="11" t="s">
        <v>1634</v>
      </c>
      <c r="G14" s="11">
        <v>2.0</v>
      </c>
      <c r="H14" s="11" t="s">
        <v>1636</v>
      </c>
      <c r="I14" s="11">
        <v>2.0</v>
      </c>
    </row>
    <row r="15">
      <c r="A15" s="11" t="s">
        <v>1642</v>
      </c>
      <c r="B15" s="11">
        <v>1.0</v>
      </c>
      <c r="C15" s="11" t="s">
        <v>634</v>
      </c>
      <c r="D15" s="11" t="s">
        <v>1631</v>
      </c>
      <c r="E15" s="11">
        <v>3.0</v>
      </c>
      <c r="F15" s="11" t="s">
        <v>1634</v>
      </c>
      <c r="G15" s="11">
        <v>2.0</v>
      </c>
      <c r="H15" s="11" t="s">
        <v>1636</v>
      </c>
      <c r="I15" s="11">
        <v>2.0</v>
      </c>
    </row>
    <row r="16">
      <c r="A16" s="11" t="s">
        <v>1643</v>
      </c>
      <c r="B16" s="11">
        <v>1.0</v>
      </c>
      <c r="C16" s="11" t="s">
        <v>1637</v>
      </c>
      <c r="D16" s="11" t="s">
        <v>1631</v>
      </c>
      <c r="E16" s="11">
        <v>3.0</v>
      </c>
      <c r="F16" s="11" t="s">
        <v>1638</v>
      </c>
      <c r="G16" s="11">
        <v>2.0</v>
      </c>
      <c r="H16" s="11" t="s">
        <v>1639</v>
      </c>
      <c r="I16" s="11">
        <v>2.0</v>
      </c>
    </row>
    <row r="17">
      <c r="A17" s="11" t="s">
        <v>1643</v>
      </c>
      <c r="B17" s="11">
        <v>1.0</v>
      </c>
      <c r="C17" s="11" t="s">
        <v>634</v>
      </c>
      <c r="D17" s="11" t="s">
        <v>1631</v>
      </c>
      <c r="E17" s="11">
        <v>3.0</v>
      </c>
      <c r="F17" s="11" t="s">
        <v>1638</v>
      </c>
      <c r="G17" s="11">
        <v>2.0</v>
      </c>
      <c r="H17" s="11" t="s">
        <v>1639</v>
      </c>
      <c r="I17" s="11">
        <v>2.0</v>
      </c>
    </row>
    <row r="18">
      <c r="A18" s="11" t="s">
        <v>1644</v>
      </c>
      <c r="B18" s="11">
        <v>1.0</v>
      </c>
      <c r="C18" s="11" t="s">
        <v>1637</v>
      </c>
      <c r="D18" s="11" t="s">
        <v>1631</v>
      </c>
      <c r="E18" s="11">
        <v>1.0</v>
      </c>
      <c r="F18" s="11" t="s">
        <v>1639</v>
      </c>
      <c r="G18" s="11">
        <v>1.0</v>
      </c>
    </row>
    <row r="19">
      <c r="A19" s="11" t="s">
        <v>1644</v>
      </c>
      <c r="B19" s="11">
        <v>1.0</v>
      </c>
      <c r="C19" s="11" t="s">
        <v>634</v>
      </c>
      <c r="D19" s="11" t="s">
        <v>1631</v>
      </c>
      <c r="E19" s="11">
        <v>1.0</v>
      </c>
      <c r="F19" s="11" t="s">
        <v>1639</v>
      </c>
      <c r="G19" s="11">
        <v>1.0</v>
      </c>
    </row>
    <row r="20">
      <c r="A20" s="11" t="s">
        <v>1645</v>
      </c>
      <c r="B20" s="11">
        <v>1.0</v>
      </c>
      <c r="C20" s="11" t="s">
        <v>1629</v>
      </c>
      <c r="D20" s="11" t="s">
        <v>1632</v>
      </c>
      <c r="E20" s="11">
        <v>3.0</v>
      </c>
      <c r="F20" s="11" t="s">
        <v>1630</v>
      </c>
      <c r="G20" s="11">
        <v>1.0</v>
      </c>
      <c r="H20" s="11" t="s">
        <v>1633</v>
      </c>
      <c r="I20" s="11">
        <v>1.0</v>
      </c>
      <c r="J20" s="11" t="s">
        <v>1634</v>
      </c>
      <c r="K20" s="11">
        <v>1.0</v>
      </c>
      <c r="L20" s="11" t="s">
        <v>1635</v>
      </c>
      <c r="M20" s="11">
        <v>1.0</v>
      </c>
    </row>
    <row r="21">
      <c r="A21" s="11" t="s">
        <v>1646</v>
      </c>
      <c r="B21" s="11">
        <v>1.0</v>
      </c>
      <c r="C21" s="11" t="s">
        <v>1629</v>
      </c>
      <c r="D21" s="11" t="s">
        <v>1631</v>
      </c>
      <c r="E21" s="11">
        <v>2.0</v>
      </c>
      <c r="F21" s="11" t="s">
        <v>1634</v>
      </c>
      <c r="G21" s="11">
        <v>1.0</v>
      </c>
      <c r="H21" s="11" t="s">
        <v>1636</v>
      </c>
      <c r="I21" s="11">
        <v>1.0</v>
      </c>
    </row>
    <row r="22">
      <c r="A22" s="11" t="s">
        <v>1646</v>
      </c>
      <c r="B22" s="11">
        <v>1.0</v>
      </c>
      <c r="C22" s="11" t="s">
        <v>634</v>
      </c>
      <c r="D22" s="11" t="s">
        <v>1631</v>
      </c>
      <c r="E22" s="11">
        <v>2.0</v>
      </c>
      <c r="F22" s="11" t="s">
        <v>1634</v>
      </c>
      <c r="G22" s="11">
        <v>1.0</v>
      </c>
      <c r="H22" s="11" t="s">
        <v>1636</v>
      </c>
      <c r="I22" s="11">
        <v>1.0</v>
      </c>
    </row>
    <row r="23">
      <c r="A23" s="11" t="s">
        <v>1647</v>
      </c>
      <c r="B23" s="11">
        <v>1.0</v>
      </c>
      <c r="C23" s="11" t="s">
        <v>1637</v>
      </c>
      <c r="D23" s="11" t="s">
        <v>1631</v>
      </c>
      <c r="E23" s="11">
        <v>2.0</v>
      </c>
      <c r="F23" s="11" t="s">
        <v>1638</v>
      </c>
      <c r="G23" s="11">
        <v>1.0</v>
      </c>
      <c r="H23" s="11" t="s">
        <v>1639</v>
      </c>
      <c r="I23" s="11">
        <v>1.0</v>
      </c>
    </row>
    <row r="24">
      <c r="A24" s="11" t="s">
        <v>1647</v>
      </c>
      <c r="B24" s="11">
        <v>1.0</v>
      </c>
      <c r="C24" s="11" t="s">
        <v>634</v>
      </c>
      <c r="D24" s="11" t="s">
        <v>1631</v>
      </c>
      <c r="E24" s="11">
        <v>2.0</v>
      </c>
      <c r="F24" s="11" t="s">
        <v>1638</v>
      </c>
      <c r="G24" s="11">
        <v>1.0</v>
      </c>
      <c r="H24" s="11" t="s">
        <v>1639</v>
      </c>
      <c r="I24" s="11">
        <v>1.0</v>
      </c>
    </row>
    <row r="25">
      <c r="A25" s="11" t="s">
        <v>1648</v>
      </c>
      <c r="B25" s="11">
        <v>1.0</v>
      </c>
      <c r="C25" s="11" t="s">
        <v>1637</v>
      </c>
      <c r="D25" s="11" t="s">
        <v>1640</v>
      </c>
      <c r="E25" s="11">
        <v>1.0</v>
      </c>
      <c r="F25" s="11" t="s">
        <v>1631</v>
      </c>
      <c r="G25" s="11">
        <v>2.0</v>
      </c>
    </row>
    <row r="26">
      <c r="A26" s="11" t="s">
        <v>1648</v>
      </c>
      <c r="B26" s="11">
        <v>1.0</v>
      </c>
      <c r="C26" s="11" t="s">
        <v>634</v>
      </c>
      <c r="D26" s="11" t="s">
        <v>1640</v>
      </c>
      <c r="E26" s="11">
        <v>1.0</v>
      </c>
      <c r="F26" s="11" t="s">
        <v>1631</v>
      </c>
      <c r="G26" s="11">
        <v>2.0</v>
      </c>
    </row>
    <row r="28">
      <c r="A28" s="74" t="s">
        <v>1</v>
      </c>
      <c r="B28" s="74" t="s">
        <v>689</v>
      </c>
      <c r="C28" s="74" t="s">
        <v>1608</v>
      </c>
      <c r="D28" s="74" t="s">
        <v>1609</v>
      </c>
      <c r="E28" s="74" t="s">
        <v>1610</v>
      </c>
      <c r="F28" s="74" t="s">
        <v>1611</v>
      </c>
      <c r="G28" s="74" t="s">
        <v>1612</v>
      </c>
      <c r="H28" s="74" t="s">
        <v>1613</v>
      </c>
      <c r="I28" s="74" t="s">
        <v>1614</v>
      </c>
      <c r="J28" s="74" t="s">
        <v>1615</v>
      </c>
      <c r="K28" s="74" t="s">
        <v>1616</v>
      </c>
      <c r="L28" s="74" t="s">
        <v>1617</v>
      </c>
      <c r="M28" s="74" t="s">
        <v>1618</v>
      </c>
      <c r="N28" s="74" t="s">
        <v>1619</v>
      </c>
      <c r="O28" s="74" t="s">
        <v>1620</v>
      </c>
      <c r="P28" s="74" t="s">
        <v>1621</v>
      </c>
      <c r="Q28" s="74" t="s">
        <v>1622</v>
      </c>
      <c r="R28" s="74" t="s">
        <v>1623</v>
      </c>
      <c r="S28" s="74" t="s">
        <v>1624</v>
      </c>
      <c r="T28" s="74" t="s">
        <v>1625</v>
      </c>
      <c r="U28" s="74" t="s">
        <v>1626</v>
      </c>
      <c r="V28" s="74" t="s">
        <v>1627</v>
      </c>
      <c r="W28" s="74" t="s">
        <v>1628</v>
      </c>
    </row>
    <row r="29">
      <c r="A29" s="11" t="s">
        <v>330</v>
      </c>
      <c r="B29" s="11">
        <v>1.0</v>
      </c>
      <c r="C29" s="11" t="s">
        <v>1629</v>
      </c>
      <c r="D29" s="11" t="s">
        <v>1649</v>
      </c>
      <c r="E29" s="11">
        <v>1.0</v>
      </c>
      <c r="F29" s="11" t="s">
        <v>1650</v>
      </c>
      <c r="G29" s="11">
        <v>1.0</v>
      </c>
      <c r="H29" s="11" t="s">
        <v>1632</v>
      </c>
      <c r="I29" s="11">
        <v>3.0</v>
      </c>
      <c r="J29" s="11" t="s">
        <v>1651</v>
      </c>
      <c r="K29" s="11">
        <v>1.0</v>
      </c>
      <c r="L29" s="11" t="s">
        <v>1652</v>
      </c>
      <c r="M29" s="11">
        <v>1.0</v>
      </c>
    </row>
    <row r="30">
      <c r="A30" s="11" t="s">
        <v>352</v>
      </c>
      <c r="B30" s="11">
        <v>1.0</v>
      </c>
      <c r="C30" s="11" t="s">
        <v>1629</v>
      </c>
      <c r="D30" s="11" t="s">
        <v>1649</v>
      </c>
      <c r="E30" s="11">
        <v>1.0</v>
      </c>
      <c r="F30" s="11" t="s">
        <v>1650</v>
      </c>
      <c r="G30" s="11">
        <v>1.0</v>
      </c>
      <c r="H30" s="11" t="s">
        <v>1632</v>
      </c>
      <c r="I30" s="11">
        <v>3.0</v>
      </c>
      <c r="J30" s="11" t="s">
        <v>1651</v>
      </c>
      <c r="K30" s="11">
        <v>1.0</v>
      </c>
    </row>
    <row r="31">
      <c r="A31" s="11" t="s">
        <v>290</v>
      </c>
      <c r="B31" s="11">
        <v>1.0</v>
      </c>
      <c r="C31" s="11" t="s">
        <v>1629</v>
      </c>
      <c r="D31" s="11" t="s">
        <v>1649</v>
      </c>
      <c r="E31" s="11">
        <v>1.0</v>
      </c>
      <c r="F31" s="11" t="s">
        <v>1650</v>
      </c>
      <c r="G31" s="11">
        <v>1.0</v>
      </c>
      <c r="H31" s="11" t="s">
        <v>1632</v>
      </c>
      <c r="I31" s="11">
        <v>3.0</v>
      </c>
    </row>
    <row r="32">
      <c r="A32" s="11" t="s">
        <v>308</v>
      </c>
      <c r="B32" s="11">
        <v>1.0</v>
      </c>
      <c r="C32" s="11" t="s">
        <v>1629</v>
      </c>
      <c r="D32" s="11" t="s">
        <v>1649</v>
      </c>
      <c r="E32" s="11">
        <v>1.0</v>
      </c>
      <c r="F32" s="11" t="s">
        <v>1650</v>
      </c>
      <c r="G32" s="11">
        <v>1.0</v>
      </c>
    </row>
    <row r="33">
      <c r="A33" s="11" t="s">
        <v>308</v>
      </c>
      <c r="B33" s="11">
        <v>1.0</v>
      </c>
      <c r="C33" s="11" t="s">
        <v>634</v>
      </c>
      <c r="D33" s="11" t="s">
        <v>1649</v>
      </c>
      <c r="E33" s="11">
        <v>1.0</v>
      </c>
      <c r="F33" s="11" t="s">
        <v>1650</v>
      </c>
      <c r="G33" s="11">
        <v>1.0</v>
      </c>
    </row>
    <row r="34">
      <c r="A34" s="11" t="s">
        <v>233</v>
      </c>
      <c r="B34" s="11">
        <v>1.0</v>
      </c>
      <c r="C34" s="11" t="s">
        <v>1637</v>
      </c>
      <c r="D34" s="11" t="s">
        <v>1649</v>
      </c>
      <c r="E34" s="11">
        <v>1.0</v>
      </c>
      <c r="F34" s="11" t="s">
        <v>1653</v>
      </c>
      <c r="G34" s="11">
        <v>1.0</v>
      </c>
    </row>
    <row r="35">
      <c r="A35" s="11" t="s">
        <v>233</v>
      </c>
      <c r="B35" s="11">
        <v>1.0</v>
      </c>
      <c r="C35" s="11" t="s">
        <v>634</v>
      </c>
      <c r="D35" s="11" t="s">
        <v>1649</v>
      </c>
      <c r="E35" s="11">
        <v>1.0</v>
      </c>
      <c r="F35" s="11" t="s">
        <v>1653</v>
      </c>
      <c r="G35" s="11">
        <v>1.0</v>
      </c>
    </row>
    <row r="36">
      <c r="A36" s="11" t="s">
        <v>304</v>
      </c>
      <c r="B36" s="11">
        <v>1.0</v>
      </c>
      <c r="C36" s="11" t="s">
        <v>1629</v>
      </c>
      <c r="D36" s="11" t="s">
        <v>1649</v>
      </c>
      <c r="E36" s="11">
        <v>1.0</v>
      </c>
      <c r="F36" s="11" t="s">
        <v>1654</v>
      </c>
      <c r="G36" s="11">
        <v>1.0</v>
      </c>
      <c r="H36" s="11" t="s">
        <v>1652</v>
      </c>
      <c r="I36" s="11">
        <v>1.0</v>
      </c>
      <c r="J36" s="11" t="s">
        <v>1651</v>
      </c>
      <c r="K36" s="11">
        <v>1.0</v>
      </c>
    </row>
    <row r="37">
      <c r="A37" s="11" t="s">
        <v>207</v>
      </c>
      <c r="B37" s="11">
        <v>1.0</v>
      </c>
      <c r="C37" s="11" t="s">
        <v>1629</v>
      </c>
      <c r="D37" s="11" t="s">
        <v>1649</v>
      </c>
      <c r="E37" s="11">
        <v>1.0</v>
      </c>
      <c r="F37" s="11" t="s">
        <v>1655</v>
      </c>
      <c r="G37" s="11">
        <v>1.0</v>
      </c>
    </row>
    <row r="38">
      <c r="A38" s="11" t="s">
        <v>207</v>
      </c>
      <c r="B38" s="11">
        <v>1.0</v>
      </c>
      <c r="C38" s="11" t="s">
        <v>634</v>
      </c>
      <c r="D38" s="11" t="s">
        <v>1649</v>
      </c>
      <c r="E38" s="11">
        <v>1.0</v>
      </c>
      <c r="F38" s="11" t="s">
        <v>1655</v>
      </c>
      <c r="G38" s="11">
        <v>1.0</v>
      </c>
    </row>
    <row r="39">
      <c r="A39" s="11" t="s">
        <v>261</v>
      </c>
      <c r="B39" s="11">
        <v>1.0</v>
      </c>
      <c r="C39" s="11" t="s">
        <v>1637</v>
      </c>
      <c r="D39" s="11" t="s">
        <v>1656</v>
      </c>
      <c r="E39" s="11">
        <v>2.0</v>
      </c>
      <c r="F39" s="11" t="s">
        <v>1640</v>
      </c>
      <c r="G39" s="11">
        <v>2.0</v>
      </c>
    </row>
    <row r="40">
      <c r="A40" s="11" t="s">
        <v>261</v>
      </c>
      <c r="B40" s="11">
        <v>1.0</v>
      </c>
      <c r="C40" s="11" t="s">
        <v>634</v>
      </c>
      <c r="D40" s="11" t="s">
        <v>1656</v>
      </c>
      <c r="E40" s="11">
        <v>2.0</v>
      </c>
      <c r="F40" s="11" t="s">
        <v>1640</v>
      </c>
      <c r="G40" s="11">
        <v>2.0</v>
      </c>
    </row>
    <row r="41">
      <c r="A41" s="11" t="s">
        <v>185</v>
      </c>
      <c r="B41" s="11">
        <v>1.0</v>
      </c>
      <c r="C41" s="11" t="s">
        <v>1637</v>
      </c>
      <c r="D41" s="11" t="s">
        <v>1657</v>
      </c>
      <c r="E41" s="11">
        <v>1.0</v>
      </c>
      <c r="F41" s="11" t="s">
        <v>1649</v>
      </c>
      <c r="G41" s="11">
        <v>1.0</v>
      </c>
    </row>
    <row r="42">
      <c r="A42" s="11" t="s">
        <v>185</v>
      </c>
      <c r="B42" s="11">
        <v>1.0</v>
      </c>
      <c r="C42" s="11" t="s">
        <v>634</v>
      </c>
      <c r="D42" s="11" t="s">
        <v>1657</v>
      </c>
      <c r="E42" s="11">
        <v>1.0</v>
      </c>
      <c r="F42" s="11" t="s">
        <v>1649</v>
      </c>
      <c r="G42" s="11">
        <v>1.0</v>
      </c>
    </row>
    <row r="43">
      <c r="A43" s="40" t="s">
        <v>193</v>
      </c>
      <c r="B43" s="11">
        <v>1.0</v>
      </c>
      <c r="C43" s="11" t="s">
        <v>1658</v>
      </c>
      <c r="D43" s="11" t="s">
        <v>1656</v>
      </c>
      <c r="E43" s="11">
        <v>2.0</v>
      </c>
      <c r="F43" s="11" t="s">
        <v>1640</v>
      </c>
      <c r="G43" s="11">
        <v>1.0</v>
      </c>
    </row>
    <row r="44">
      <c r="A44" s="11" t="s">
        <v>347</v>
      </c>
      <c r="B44" s="11">
        <v>1.0</v>
      </c>
      <c r="C44" s="11" t="s">
        <v>1629</v>
      </c>
      <c r="D44" s="11" t="s">
        <v>1649</v>
      </c>
      <c r="E44" s="11">
        <v>1.0</v>
      </c>
      <c r="F44" s="11" t="s">
        <v>1650</v>
      </c>
      <c r="G44" s="11">
        <v>1.0</v>
      </c>
      <c r="H44" s="11" t="s">
        <v>1659</v>
      </c>
      <c r="I44" s="11">
        <v>1.0</v>
      </c>
      <c r="J44" s="11" t="s">
        <v>1632</v>
      </c>
      <c r="K44" s="11">
        <v>3.0</v>
      </c>
      <c r="L44" s="11" t="s">
        <v>1660</v>
      </c>
      <c r="M44" s="11">
        <v>1.0</v>
      </c>
    </row>
    <row r="45">
      <c r="A45" s="11" t="s">
        <v>281</v>
      </c>
      <c r="B45" s="11">
        <v>1.0</v>
      </c>
      <c r="C45" s="11" t="s">
        <v>1629</v>
      </c>
      <c r="D45" s="11" t="s">
        <v>1649</v>
      </c>
      <c r="E45" s="11">
        <v>1.0</v>
      </c>
      <c r="F45" s="11" t="s">
        <v>1650</v>
      </c>
      <c r="G45" s="11">
        <v>1.0</v>
      </c>
      <c r="H45" s="11" t="s">
        <v>1659</v>
      </c>
      <c r="I45" s="11">
        <v>1.0</v>
      </c>
      <c r="J45" s="11" t="s">
        <v>1632</v>
      </c>
      <c r="K45" s="11">
        <v>3.0</v>
      </c>
    </row>
    <row r="46">
      <c r="A46" s="11" t="s">
        <v>298</v>
      </c>
      <c r="B46" s="11">
        <v>1.0</v>
      </c>
      <c r="C46" s="11" t="s">
        <v>1629</v>
      </c>
      <c r="D46" s="11" t="s">
        <v>1649</v>
      </c>
      <c r="E46" s="11">
        <v>1.0</v>
      </c>
      <c r="F46" s="11" t="s">
        <v>1650</v>
      </c>
      <c r="G46" s="11">
        <v>1.0</v>
      </c>
      <c r="H46" s="11" t="s">
        <v>1659</v>
      </c>
      <c r="I46" s="11">
        <v>1.0</v>
      </c>
    </row>
    <row r="47">
      <c r="A47" s="11" t="s">
        <v>298</v>
      </c>
      <c r="B47" s="11">
        <v>1.0</v>
      </c>
      <c r="C47" s="11" t="s">
        <v>634</v>
      </c>
      <c r="D47" s="11" t="s">
        <v>1649</v>
      </c>
      <c r="E47" s="11">
        <v>1.0</v>
      </c>
      <c r="F47" s="11" t="s">
        <v>1650</v>
      </c>
      <c r="G47" s="11">
        <v>1.0</v>
      </c>
      <c r="H47" s="11" t="s">
        <v>1659</v>
      </c>
      <c r="I47" s="11">
        <v>1.0</v>
      </c>
    </row>
    <row r="48">
      <c r="A48" s="11" t="s">
        <v>1661</v>
      </c>
      <c r="B48" s="11">
        <v>1.0</v>
      </c>
      <c r="C48" s="11" t="s">
        <v>1629</v>
      </c>
      <c r="D48" s="11" t="s">
        <v>1649</v>
      </c>
      <c r="E48" s="11">
        <v>1.0</v>
      </c>
      <c r="F48" s="11" t="s">
        <v>1654</v>
      </c>
      <c r="G48" s="11">
        <v>1.0</v>
      </c>
      <c r="H48" s="11" t="s">
        <v>1652</v>
      </c>
      <c r="I48" s="11">
        <v>1.0</v>
      </c>
    </row>
    <row r="49">
      <c r="A49" s="11" t="s">
        <v>359</v>
      </c>
      <c r="B49" s="11">
        <v>1.0</v>
      </c>
      <c r="C49" s="11" t="s">
        <v>1629</v>
      </c>
      <c r="D49" s="11" t="s">
        <v>1662</v>
      </c>
      <c r="E49" s="11">
        <v>1.0</v>
      </c>
      <c r="F49" s="11" t="s">
        <v>1632</v>
      </c>
      <c r="G49" s="11">
        <v>3.0</v>
      </c>
      <c r="H49" s="11" t="s">
        <v>1651</v>
      </c>
      <c r="I49" s="11">
        <v>1.0</v>
      </c>
      <c r="J49" s="11" t="s">
        <v>1663</v>
      </c>
      <c r="K49" s="11">
        <v>1.0</v>
      </c>
      <c r="L49" s="11" t="s">
        <v>1664</v>
      </c>
      <c r="M49" s="11">
        <v>1.0</v>
      </c>
    </row>
    <row r="50">
      <c r="A50" s="11" t="s">
        <v>313</v>
      </c>
      <c r="B50" s="11">
        <v>1.0</v>
      </c>
      <c r="C50" s="11" t="s">
        <v>634</v>
      </c>
      <c r="D50" s="11" t="s">
        <v>1664</v>
      </c>
      <c r="E50" s="11">
        <v>1.0</v>
      </c>
      <c r="F50" s="11" t="s">
        <v>1649</v>
      </c>
      <c r="G50" s="11">
        <v>1.0</v>
      </c>
    </row>
    <row r="51">
      <c r="A51" s="11" t="s">
        <v>313</v>
      </c>
      <c r="B51" s="11">
        <v>1.0</v>
      </c>
      <c r="C51" s="11" t="s">
        <v>1629</v>
      </c>
      <c r="D51" s="11" t="s">
        <v>1664</v>
      </c>
      <c r="E51" s="11">
        <v>1.0</v>
      </c>
      <c r="F51" s="11" t="s">
        <v>1649</v>
      </c>
      <c r="G51" s="11">
        <v>1.0</v>
      </c>
    </row>
    <row r="52">
      <c r="A52" s="11" t="s">
        <v>317</v>
      </c>
      <c r="B52" s="11">
        <v>8.0</v>
      </c>
      <c r="C52" s="11" t="s">
        <v>1629</v>
      </c>
      <c r="D52" s="11" t="s">
        <v>1664</v>
      </c>
      <c r="E52" s="11">
        <v>1.0</v>
      </c>
      <c r="F52" s="11" t="s">
        <v>1665</v>
      </c>
      <c r="G52" s="11">
        <v>1.0</v>
      </c>
      <c r="H52" s="11" t="s">
        <v>1651</v>
      </c>
      <c r="I52" s="11">
        <v>1.0</v>
      </c>
    </row>
    <row r="53">
      <c r="A53" s="11" t="s">
        <v>245</v>
      </c>
      <c r="B53" s="11">
        <v>1.0</v>
      </c>
      <c r="C53" s="11" t="s">
        <v>1637</v>
      </c>
      <c r="D53" s="11" t="s">
        <v>1666</v>
      </c>
      <c r="E53" s="11">
        <v>1.0</v>
      </c>
      <c r="F53" s="11" t="s">
        <v>1649</v>
      </c>
      <c r="G53" s="11">
        <v>1.0</v>
      </c>
    </row>
    <row r="54">
      <c r="A54" s="11" t="s">
        <v>245</v>
      </c>
      <c r="B54" s="11">
        <v>1.0</v>
      </c>
      <c r="C54" s="11" t="s">
        <v>634</v>
      </c>
      <c r="D54" s="11" t="s">
        <v>1666</v>
      </c>
      <c r="E54" s="11">
        <v>1.0</v>
      </c>
      <c r="F54" s="11" t="s">
        <v>1649</v>
      </c>
      <c r="G54" s="11">
        <v>1.0</v>
      </c>
    </row>
    <row r="55">
      <c r="A55" s="11" t="s">
        <v>11</v>
      </c>
      <c r="B55" s="11">
        <v>1.0</v>
      </c>
      <c r="C55" s="11" t="s">
        <v>1658</v>
      </c>
      <c r="D55" s="11" t="s">
        <v>1656</v>
      </c>
      <c r="E55" s="11">
        <v>3.0</v>
      </c>
      <c r="F55" s="11" t="s">
        <v>1640</v>
      </c>
      <c r="G55" s="11">
        <v>2.0</v>
      </c>
    </row>
    <row r="56">
      <c r="A56" s="11" t="s">
        <v>1667</v>
      </c>
      <c r="B56" s="11">
        <v>1.0</v>
      </c>
      <c r="C56" s="11" t="s">
        <v>1629</v>
      </c>
      <c r="D56" s="11" t="s">
        <v>1663</v>
      </c>
      <c r="E56" s="11">
        <v>3.0</v>
      </c>
      <c r="F56" s="11" t="s">
        <v>1668</v>
      </c>
      <c r="G56" s="11">
        <v>2.0</v>
      </c>
      <c r="H56" s="11" t="s">
        <v>1630</v>
      </c>
      <c r="I56" s="11">
        <v>1.0</v>
      </c>
      <c r="J56" s="11" t="s">
        <v>1652</v>
      </c>
      <c r="K56" s="11">
        <v>1.0</v>
      </c>
    </row>
    <row r="57">
      <c r="A57" s="11" t="s">
        <v>1667</v>
      </c>
      <c r="B57" s="11">
        <v>1.0</v>
      </c>
      <c r="C57" s="11" t="s">
        <v>634</v>
      </c>
      <c r="D57" s="11" t="s">
        <v>1663</v>
      </c>
      <c r="E57" s="11">
        <v>3.0</v>
      </c>
      <c r="F57" s="11" t="s">
        <v>1668</v>
      </c>
      <c r="G57" s="11">
        <v>2.0</v>
      </c>
      <c r="H57" s="11" t="s">
        <v>1630</v>
      </c>
      <c r="I57" s="11">
        <v>1.0</v>
      </c>
      <c r="J57" s="11" t="s">
        <v>1652</v>
      </c>
      <c r="K57" s="11">
        <v>1.0</v>
      </c>
    </row>
    <row r="58">
      <c r="A58" s="11" t="s">
        <v>1669</v>
      </c>
      <c r="B58" s="11">
        <v>1.0</v>
      </c>
      <c r="C58" s="11" t="s">
        <v>1629</v>
      </c>
      <c r="D58" s="11" t="s">
        <v>1662</v>
      </c>
      <c r="E58" s="11">
        <v>1.0</v>
      </c>
      <c r="F58" s="11" t="s">
        <v>1632</v>
      </c>
      <c r="G58" s="11">
        <v>4.0</v>
      </c>
      <c r="H58" s="11" t="s">
        <v>1630</v>
      </c>
      <c r="I58" s="11">
        <v>1.0</v>
      </c>
      <c r="J58" s="11" t="s">
        <v>1663</v>
      </c>
      <c r="K58" s="11">
        <v>3.0</v>
      </c>
      <c r="L58" s="11" t="s">
        <v>1668</v>
      </c>
      <c r="M58" s="11">
        <v>1.0</v>
      </c>
    </row>
    <row r="59">
      <c r="A59" s="11" t="s">
        <v>1670</v>
      </c>
      <c r="B59" s="11">
        <v>1.0</v>
      </c>
      <c r="C59" s="11" t="s">
        <v>1629</v>
      </c>
      <c r="D59" s="11" t="s">
        <v>1665</v>
      </c>
      <c r="E59" s="11">
        <v>2.0</v>
      </c>
      <c r="F59" s="11" t="s">
        <v>1668</v>
      </c>
      <c r="G59" s="11">
        <v>1.0</v>
      </c>
    </row>
    <row r="60">
      <c r="A60" s="11" t="s">
        <v>1670</v>
      </c>
      <c r="B60" s="11">
        <v>1.0</v>
      </c>
      <c r="C60" s="11" t="s">
        <v>634</v>
      </c>
      <c r="D60" s="11" t="s">
        <v>1665</v>
      </c>
      <c r="E60" s="11">
        <v>2.0</v>
      </c>
      <c r="F60" s="11" t="s">
        <v>1668</v>
      </c>
      <c r="G60" s="11">
        <v>1.0</v>
      </c>
    </row>
    <row r="61">
      <c r="A61" s="11" t="s">
        <v>268</v>
      </c>
      <c r="B61" s="11">
        <v>1.0</v>
      </c>
      <c r="C61" s="11" t="s">
        <v>1637</v>
      </c>
      <c r="D61" s="11" t="s">
        <v>1656</v>
      </c>
      <c r="E61" s="11">
        <v>3.0</v>
      </c>
      <c r="F61" s="11" t="s">
        <v>1631</v>
      </c>
      <c r="G61" s="11">
        <v>4.0</v>
      </c>
    </row>
    <row r="62">
      <c r="A62" s="11" t="s">
        <v>268</v>
      </c>
      <c r="B62" s="11">
        <v>1.0</v>
      </c>
      <c r="C62" s="11" t="s">
        <v>634</v>
      </c>
      <c r="D62" s="11" t="s">
        <v>1656</v>
      </c>
      <c r="E62" s="11">
        <v>3.0</v>
      </c>
      <c r="F62" s="11" t="s">
        <v>1631</v>
      </c>
      <c r="G62" s="11">
        <v>4.0</v>
      </c>
    </row>
    <row r="63">
      <c r="A63" s="11" t="s">
        <v>252</v>
      </c>
      <c r="B63" s="11">
        <v>1.0</v>
      </c>
      <c r="C63" s="11" t="s">
        <v>1629</v>
      </c>
      <c r="D63" s="11" t="s">
        <v>1639</v>
      </c>
      <c r="E63" s="11">
        <v>1.0</v>
      </c>
      <c r="F63" s="11" t="s">
        <v>1671</v>
      </c>
      <c r="G63" s="11">
        <v>2.0</v>
      </c>
      <c r="H63" s="11" t="s">
        <v>1630</v>
      </c>
      <c r="I63" s="11">
        <v>1.0</v>
      </c>
      <c r="J63" s="11" t="s">
        <v>1652</v>
      </c>
      <c r="K63" s="11">
        <v>1.0</v>
      </c>
    </row>
    <row r="64">
      <c r="A64" s="11" t="s">
        <v>252</v>
      </c>
      <c r="B64" s="11">
        <v>1.0</v>
      </c>
      <c r="C64" s="11" t="s">
        <v>634</v>
      </c>
      <c r="D64" s="11" t="s">
        <v>1639</v>
      </c>
      <c r="E64" s="11">
        <v>1.0</v>
      </c>
      <c r="F64" s="11" t="s">
        <v>1671</v>
      </c>
      <c r="G64" s="11">
        <v>2.0</v>
      </c>
      <c r="H64" s="11" t="s">
        <v>1630</v>
      </c>
      <c r="I64" s="11">
        <v>1.0</v>
      </c>
      <c r="J64" s="11" t="s">
        <v>1652</v>
      </c>
      <c r="K64" s="11">
        <v>1.0</v>
      </c>
    </row>
    <row r="65">
      <c r="A65" s="11" t="s">
        <v>340</v>
      </c>
      <c r="B65" s="11">
        <v>1.0</v>
      </c>
      <c r="C65" s="11" t="s">
        <v>1629</v>
      </c>
      <c r="D65" s="11" t="s">
        <v>1649</v>
      </c>
      <c r="E65" s="11">
        <v>1.0</v>
      </c>
      <c r="F65" s="11" t="s">
        <v>1654</v>
      </c>
      <c r="G65" s="11">
        <v>1.0</v>
      </c>
      <c r="H65" s="11" t="s">
        <v>1631</v>
      </c>
      <c r="I65" s="11">
        <v>3.0</v>
      </c>
    </row>
    <row r="66">
      <c r="A66" s="11" t="s">
        <v>340</v>
      </c>
      <c r="B66" s="11">
        <v>1.0</v>
      </c>
      <c r="C66" s="11" t="s">
        <v>634</v>
      </c>
      <c r="D66" s="11" t="s">
        <v>1649</v>
      </c>
      <c r="E66" s="11">
        <v>1.0</v>
      </c>
      <c r="F66" s="11" t="s">
        <v>1654</v>
      </c>
      <c r="G66" s="11">
        <v>1.0</v>
      </c>
      <c r="H66" s="11" t="s">
        <v>1631</v>
      </c>
      <c r="I66" s="11">
        <v>3.0</v>
      </c>
    </row>
    <row r="67">
      <c r="A67" s="11" t="s">
        <v>276</v>
      </c>
      <c r="B67" s="11">
        <v>1.0</v>
      </c>
      <c r="C67" s="11" t="s">
        <v>1637</v>
      </c>
      <c r="D67" s="11" t="s">
        <v>1656</v>
      </c>
      <c r="E67" s="11">
        <v>3.0</v>
      </c>
      <c r="F67" s="11" t="s">
        <v>1640</v>
      </c>
      <c r="G67" s="11">
        <v>3.0</v>
      </c>
    </row>
    <row r="68">
      <c r="A68" s="11" t="s">
        <v>276</v>
      </c>
      <c r="B68" s="11">
        <v>1.0</v>
      </c>
      <c r="C68" s="11" t="s">
        <v>634</v>
      </c>
      <c r="D68" s="11" t="s">
        <v>1656</v>
      </c>
      <c r="E68" s="11">
        <v>3.0</v>
      </c>
      <c r="F68" s="11" t="s">
        <v>1640</v>
      </c>
      <c r="G68" s="11">
        <v>3.0</v>
      </c>
    </row>
    <row r="69">
      <c r="A69" s="11" t="s">
        <v>336</v>
      </c>
      <c r="B69" s="11">
        <v>2.0</v>
      </c>
      <c r="C69" s="11" t="s">
        <v>1629</v>
      </c>
      <c r="D69" s="11" t="s">
        <v>1639</v>
      </c>
      <c r="E69" s="11">
        <v>1.0</v>
      </c>
      <c r="F69" s="11" t="s">
        <v>1671</v>
      </c>
      <c r="G69" s="11">
        <v>2.0</v>
      </c>
      <c r="H69" s="11" t="s">
        <v>1672</v>
      </c>
      <c r="I69" s="11">
        <v>1.0</v>
      </c>
    </row>
    <row r="70">
      <c r="A70" s="11" t="s">
        <v>336</v>
      </c>
      <c r="B70" s="11">
        <v>2.0</v>
      </c>
      <c r="C70" s="11" t="s">
        <v>634</v>
      </c>
      <c r="D70" s="11" t="s">
        <v>1639</v>
      </c>
      <c r="E70" s="11">
        <v>1.0</v>
      </c>
      <c r="F70" s="11" t="s">
        <v>1671</v>
      </c>
      <c r="G70" s="11">
        <v>2.0</v>
      </c>
      <c r="H70" s="11" t="s">
        <v>1672</v>
      </c>
      <c r="I70" s="11">
        <v>1.0</v>
      </c>
    </row>
    <row r="71">
      <c r="A71" s="11" t="s">
        <v>364</v>
      </c>
      <c r="B71" s="11">
        <v>2.0</v>
      </c>
      <c r="C71" s="11" t="s">
        <v>1637</v>
      </c>
      <c r="D71" s="11" t="s">
        <v>1656</v>
      </c>
      <c r="E71" s="11">
        <v>3.0</v>
      </c>
      <c r="F71" s="11" t="s">
        <v>1631</v>
      </c>
      <c r="G71" s="11">
        <v>3.0</v>
      </c>
      <c r="H71" s="11" t="s">
        <v>1671</v>
      </c>
      <c r="I71" s="11">
        <v>1.0</v>
      </c>
    </row>
    <row r="72">
      <c r="A72" s="11" t="s">
        <v>364</v>
      </c>
      <c r="B72" s="11">
        <v>2.0</v>
      </c>
      <c r="C72" s="11" t="s">
        <v>634</v>
      </c>
      <c r="D72" s="11" t="s">
        <v>1656</v>
      </c>
      <c r="E72" s="11">
        <v>3.0</v>
      </c>
      <c r="F72" s="11" t="s">
        <v>1631</v>
      </c>
      <c r="G72" s="11">
        <v>3.0</v>
      </c>
      <c r="H72" s="11" t="s">
        <v>1671</v>
      </c>
      <c r="I72" s="11">
        <v>1.0</v>
      </c>
    </row>
    <row r="73">
      <c r="A73" s="11" t="s">
        <v>1673</v>
      </c>
      <c r="B73" s="11">
        <v>1.0</v>
      </c>
      <c r="C73" s="11" t="s">
        <v>1629</v>
      </c>
      <c r="D73" s="11" t="s">
        <v>1674</v>
      </c>
      <c r="E73" s="11">
        <v>1.0</v>
      </c>
      <c r="F73" s="11" t="s">
        <v>1675</v>
      </c>
      <c r="G73" s="11">
        <v>1.0</v>
      </c>
    </row>
    <row r="74">
      <c r="A74" s="11" t="s">
        <v>1676</v>
      </c>
      <c r="B74" s="11">
        <v>20.0</v>
      </c>
      <c r="C74" s="11" t="s">
        <v>1637</v>
      </c>
      <c r="D74" s="11" t="s">
        <v>1656</v>
      </c>
      <c r="E74" s="11">
        <v>2.0</v>
      </c>
      <c r="F74" s="11" t="s">
        <v>1640</v>
      </c>
      <c r="G74" s="11">
        <v>2.0</v>
      </c>
    </row>
    <row r="75">
      <c r="A75" s="11" t="s">
        <v>1676</v>
      </c>
      <c r="B75" s="11">
        <v>20.0</v>
      </c>
      <c r="C75" s="11" t="s">
        <v>634</v>
      </c>
      <c r="D75" s="62" t="s">
        <v>1656</v>
      </c>
      <c r="E75" s="77">
        <v>2.0</v>
      </c>
      <c r="F75" s="62" t="s">
        <v>1640</v>
      </c>
      <c r="G75" s="77">
        <v>2.0</v>
      </c>
    </row>
    <row r="76">
      <c r="A76" s="11" t="s">
        <v>1677</v>
      </c>
      <c r="B76" s="11">
        <v>20.0</v>
      </c>
      <c r="C76" s="11" t="s">
        <v>1629</v>
      </c>
      <c r="D76" s="11" t="s">
        <v>1665</v>
      </c>
      <c r="E76" s="11">
        <v>2.0</v>
      </c>
      <c r="F76" s="11" t="s">
        <v>1678</v>
      </c>
      <c r="G76" s="11">
        <v>2.0</v>
      </c>
      <c r="H76" s="11" t="s">
        <v>1640</v>
      </c>
      <c r="I76" s="11">
        <v>3.0</v>
      </c>
    </row>
    <row r="77">
      <c r="A77" s="11" t="s">
        <v>1677</v>
      </c>
      <c r="B77" s="11">
        <v>20.0</v>
      </c>
      <c r="C77" s="11" t="s">
        <v>634</v>
      </c>
      <c r="D77" s="11" t="s">
        <v>1665</v>
      </c>
      <c r="E77" s="11">
        <v>2.0</v>
      </c>
      <c r="F77" s="11" t="s">
        <v>1678</v>
      </c>
      <c r="G77" s="11">
        <v>2.0</v>
      </c>
      <c r="H77" s="11" t="s">
        <v>1640</v>
      </c>
      <c r="I77" s="11">
        <v>3.0</v>
      </c>
    </row>
    <row r="78">
      <c r="A78" s="11" t="s">
        <v>1679</v>
      </c>
      <c r="B78" s="11">
        <v>10.0</v>
      </c>
      <c r="C78" s="11" t="s">
        <v>1629</v>
      </c>
      <c r="D78" s="11" t="s">
        <v>1665</v>
      </c>
      <c r="E78" s="11">
        <v>1.0</v>
      </c>
      <c r="F78" s="11" t="s">
        <v>1678</v>
      </c>
      <c r="G78" s="11">
        <v>1.0</v>
      </c>
      <c r="H78" s="11" t="s">
        <v>1651</v>
      </c>
      <c r="I78" s="11">
        <v>1.0</v>
      </c>
      <c r="J78" s="11" t="s">
        <v>1652</v>
      </c>
      <c r="K78" s="11">
        <v>1.0</v>
      </c>
    </row>
    <row r="79">
      <c r="A79" s="11" t="s">
        <v>1679</v>
      </c>
      <c r="B79" s="11">
        <v>10.0</v>
      </c>
      <c r="C79" s="11" t="s">
        <v>634</v>
      </c>
      <c r="D79" s="11" t="s">
        <v>1665</v>
      </c>
      <c r="E79" s="11">
        <v>1.0</v>
      </c>
      <c r="F79" s="11" t="s">
        <v>1678</v>
      </c>
      <c r="G79" s="11">
        <v>1.0</v>
      </c>
      <c r="H79" s="11" t="s">
        <v>1651</v>
      </c>
      <c r="I79" s="11">
        <v>1.0</v>
      </c>
      <c r="J79" s="11" t="s">
        <v>1652</v>
      </c>
      <c r="K79" s="11">
        <v>1.0</v>
      </c>
    </row>
    <row r="80">
      <c r="A80" s="11" t="s">
        <v>1680</v>
      </c>
      <c r="B80" s="11">
        <v>20.0</v>
      </c>
      <c r="C80" s="11" t="s">
        <v>1629</v>
      </c>
      <c r="D80" s="11" t="s">
        <v>1665</v>
      </c>
      <c r="E80" s="11">
        <v>2.0</v>
      </c>
      <c r="F80" s="11" t="s">
        <v>1678</v>
      </c>
      <c r="G80" s="11">
        <v>2.0</v>
      </c>
      <c r="H80" s="11" t="s">
        <v>1640</v>
      </c>
      <c r="I80" s="11">
        <v>3.0</v>
      </c>
    </row>
    <row r="81">
      <c r="A81" s="11" t="s">
        <v>1680</v>
      </c>
      <c r="B81" s="11">
        <v>20.0</v>
      </c>
      <c r="C81" s="11" t="s">
        <v>634</v>
      </c>
      <c r="D81" s="11" t="s">
        <v>1665</v>
      </c>
      <c r="E81" s="11">
        <v>2.0</v>
      </c>
      <c r="F81" s="11" t="s">
        <v>1678</v>
      </c>
      <c r="G81" s="11">
        <v>2.0</v>
      </c>
      <c r="H81" s="11" t="s">
        <v>1640</v>
      </c>
      <c r="I81" s="11">
        <v>3.0</v>
      </c>
    </row>
    <row r="82">
      <c r="A82" s="11" t="s">
        <v>371</v>
      </c>
      <c r="B82" s="11">
        <v>1.0</v>
      </c>
      <c r="C82" s="11" t="s">
        <v>1629</v>
      </c>
      <c r="D82" s="11" t="s">
        <v>1665</v>
      </c>
      <c r="E82" s="11">
        <v>2.0</v>
      </c>
      <c r="F82" s="11" t="s">
        <v>1681</v>
      </c>
      <c r="G82" s="11">
        <v>1.0</v>
      </c>
      <c r="H82" s="11" t="s">
        <v>1651</v>
      </c>
      <c r="I82" s="11">
        <v>1.0</v>
      </c>
    </row>
    <row r="84">
      <c r="A84" s="74" t="s">
        <v>2</v>
      </c>
      <c r="B84" s="74" t="s">
        <v>689</v>
      </c>
      <c r="C84" s="74" t="s">
        <v>1608</v>
      </c>
      <c r="D84" s="74" t="s">
        <v>1609</v>
      </c>
      <c r="E84" s="74" t="s">
        <v>1610</v>
      </c>
      <c r="F84" s="74" t="s">
        <v>1611</v>
      </c>
      <c r="G84" s="74" t="s">
        <v>1612</v>
      </c>
      <c r="H84" s="74" t="s">
        <v>1613</v>
      </c>
      <c r="I84" s="74" t="s">
        <v>1614</v>
      </c>
      <c r="J84" s="74" t="s">
        <v>1615</v>
      </c>
      <c r="K84" s="74" t="s">
        <v>1616</v>
      </c>
      <c r="L84" s="74" t="s">
        <v>1617</v>
      </c>
      <c r="M84" s="74" t="s">
        <v>1618</v>
      </c>
      <c r="N84" s="74" t="s">
        <v>1619</v>
      </c>
      <c r="O84" s="74" t="s">
        <v>1620</v>
      </c>
      <c r="P84" s="74" t="s">
        <v>1621</v>
      </c>
      <c r="Q84" s="74" t="s">
        <v>1622</v>
      </c>
      <c r="R84" s="74" t="s">
        <v>1623</v>
      </c>
      <c r="S84" s="74" t="s">
        <v>1624</v>
      </c>
      <c r="T84" s="74" t="s">
        <v>1625</v>
      </c>
      <c r="U84" s="74" t="s">
        <v>1626</v>
      </c>
      <c r="V84" s="74" t="s">
        <v>1627</v>
      </c>
      <c r="W84" s="74" t="s">
        <v>1628</v>
      </c>
    </row>
    <row r="85">
      <c r="A85" s="11" t="s">
        <v>47</v>
      </c>
      <c r="B85" s="11">
        <v>1.0</v>
      </c>
      <c r="C85" s="11" t="s">
        <v>528</v>
      </c>
      <c r="D85" s="11" t="s">
        <v>41</v>
      </c>
      <c r="E85" s="11">
        <v>1.0</v>
      </c>
    </row>
    <row r="86">
      <c r="A86" s="11" t="s">
        <v>47</v>
      </c>
      <c r="B86" s="11">
        <v>1.0</v>
      </c>
      <c r="C86" s="11" t="s">
        <v>578</v>
      </c>
      <c r="D86" s="11" t="s">
        <v>41</v>
      </c>
      <c r="E86" s="11">
        <v>1.0</v>
      </c>
    </row>
    <row r="87">
      <c r="A87" s="11" t="s">
        <v>47</v>
      </c>
      <c r="B87" s="11">
        <v>1.0</v>
      </c>
      <c r="C87" s="11" t="s">
        <v>1682</v>
      </c>
      <c r="D87" s="11" t="s">
        <v>41</v>
      </c>
      <c r="E87" s="11">
        <v>1.0</v>
      </c>
      <c r="F87" s="11" t="s">
        <v>1683</v>
      </c>
      <c r="G87" s="11">
        <v>2.0</v>
      </c>
    </row>
    <row r="88">
      <c r="A88" s="11" t="s">
        <v>52</v>
      </c>
      <c r="B88" s="11">
        <v>1.0</v>
      </c>
      <c r="C88" s="11" t="s">
        <v>546</v>
      </c>
      <c r="D88" s="11" t="s">
        <v>1684</v>
      </c>
      <c r="E88" s="11">
        <v>2.0</v>
      </c>
      <c r="F88" s="11" t="s">
        <v>1685</v>
      </c>
      <c r="G88" s="11">
        <v>1.0</v>
      </c>
    </row>
    <row r="89">
      <c r="A89" s="11" t="s">
        <v>56</v>
      </c>
      <c r="B89" s="11">
        <v>1.0</v>
      </c>
      <c r="C89" s="11" t="s">
        <v>546</v>
      </c>
      <c r="D89" s="11" t="s">
        <v>1686</v>
      </c>
      <c r="E89" s="11">
        <v>2.0</v>
      </c>
      <c r="F89" s="11" t="s">
        <v>1685</v>
      </c>
      <c r="G89" s="11">
        <v>1.0</v>
      </c>
    </row>
    <row r="90">
      <c r="A90" s="11" t="s">
        <v>61</v>
      </c>
      <c r="B90" s="11">
        <v>1.0</v>
      </c>
      <c r="C90" s="11" t="s">
        <v>578</v>
      </c>
      <c r="D90" s="11" t="s">
        <v>1686</v>
      </c>
      <c r="E90" s="11">
        <v>2.0</v>
      </c>
      <c r="F90" s="11" t="s">
        <v>1687</v>
      </c>
      <c r="G90" s="11">
        <v>1.0</v>
      </c>
      <c r="H90" s="11" t="s">
        <v>1684</v>
      </c>
      <c r="I90" s="11">
        <v>1.0</v>
      </c>
    </row>
    <row r="91">
      <c r="A91" s="11" t="s">
        <v>69</v>
      </c>
      <c r="B91" s="11">
        <v>1.0</v>
      </c>
      <c r="C91" s="11" t="s">
        <v>578</v>
      </c>
      <c r="D91" s="11" t="s">
        <v>96</v>
      </c>
      <c r="E91" s="11">
        <v>1.0</v>
      </c>
      <c r="F91" s="11" t="s">
        <v>1686</v>
      </c>
      <c r="G91" s="11">
        <v>1.0</v>
      </c>
      <c r="H91" s="11" t="s">
        <v>1671</v>
      </c>
      <c r="I91" s="11">
        <v>1.0</v>
      </c>
    </row>
    <row r="92">
      <c r="A92" s="11" t="s">
        <v>75</v>
      </c>
      <c r="B92" s="11">
        <v>1.0</v>
      </c>
      <c r="C92" s="11" t="s">
        <v>1682</v>
      </c>
      <c r="D92" s="11" t="s">
        <v>1683</v>
      </c>
      <c r="E92" s="11">
        <v>20.0</v>
      </c>
    </row>
    <row r="93">
      <c r="A93" s="11" t="s">
        <v>79</v>
      </c>
      <c r="B93" s="11">
        <v>1.0</v>
      </c>
      <c r="C93" s="11" t="s">
        <v>546</v>
      </c>
      <c r="D93" s="11" t="s">
        <v>81</v>
      </c>
      <c r="E93" s="11">
        <v>1.0</v>
      </c>
      <c r="F93" s="11" t="s">
        <v>41</v>
      </c>
      <c r="G93" s="11">
        <v>2.0</v>
      </c>
    </row>
    <row r="94">
      <c r="A94" s="11" t="s">
        <v>83</v>
      </c>
      <c r="B94" s="11">
        <v>1.0</v>
      </c>
      <c r="C94" s="11" t="s">
        <v>578</v>
      </c>
      <c r="D94" s="11" t="s">
        <v>1686</v>
      </c>
      <c r="E94" s="11">
        <v>2.0</v>
      </c>
      <c r="F94" s="11" t="s">
        <v>1671</v>
      </c>
      <c r="G94" s="11">
        <v>1.0</v>
      </c>
    </row>
    <row r="95">
      <c r="A95" s="11" t="s">
        <v>87</v>
      </c>
      <c r="B95" s="11">
        <v>1.0</v>
      </c>
      <c r="C95" s="11" t="s">
        <v>528</v>
      </c>
      <c r="D95" s="11" t="s">
        <v>89</v>
      </c>
      <c r="E95" s="11">
        <v>1.0</v>
      </c>
    </row>
    <row r="96">
      <c r="A96" s="11" t="s">
        <v>87</v>
      </c>
      <c r="B96" s="11">
        <v>1.0</v>
      </c>
      <c r="C96" s="11" t="s">
        <v>546</v>
      </c>
      <c r="D96" s="11" t="s">
        <v>89</v>
      </c>
      <c r="E96" s="11">
        <v>1.0</v>
      </c>
    </row>
    <row r="97">
      <c r="A97" s="11" t="s">
        <v>87</v>
      </c>
      <c r="B97" s="11">
        <v>1.0</v>
      </c>
      <c r="C97" s="11" t="s">
        <v>1682</v>
      </c>
      <c r="D97" s="11" t="s">
        <v>89</v>
      </c>
      <c r="E97" s="11">
        <v>1.0</v>
      </c>
      <c r="F97" s="11" t="s">
        <v>1683</v>
      </c>
      <c r="G97" s="11">
        <v>5.0</v>
      </c>
    </row>
    <row r="98">
      <c r="A98" s="11" t="s">
        <v>1688</v>
      </c>
      <c r="B98" s="11">
        <v>1.0</v>
      </c>
      <c r="C98" s="11" t="s">
        <v>528</v>
      </c>
      <c r="D98" s="11" t="s">
        <v>92</v>
      </c>
      <c r="E98" s="11">
        <v>1.0</v>
      </c>
    </row>
    <row r="99">
      <c r="A99" s="11" t="s">
        <v>1688</v>
      </c>
      <c r="B99" s="11">
        <v>1.0</v>
      </c>
      <c r="C99" s="11" t="s">
        <v>546</v>
      </c>
      <c r="D99" s="11" t="s">
        <v>92</v>
      </c>
      <c r="E99" s="11">
        <v>1.0</v>
      </c>
    </row>
    <row r="100">
      <c r="A100" s="11" t="s">
        <v>1688</v>
      </c>
      <c r="B100" s="11">
        <v>1.0</v>
      </c>
      <c r="C100" s="11" t="s">
        <v>1682</v>
      </c>
      <c r="D100" s="11" t="s">
        <v>92</v>
      </c>
      <c r="E100" s="11">
        <v>1.0</v>
      </c>
      <c r="F100" s="11" t="s">
        <v>1683</v>
      </c>
      <c r="G100" s="11">
        <v>5.0</v>
      </c>
    </row>
    <row r="101">
      <c r="A101" s="11" t="s">
        <v>94</v>
      </c>
      <c r="B101" s="11">
        <v>1.0</v>
      </c>
      <c r="C101" s="11" t="s">
        <v>528</v>
      </c>
      <c r="D101" s="11" t="s">
        <v>81</v>
      </c>
      <c r="E101" s="11">
        <v>1.0</v>
      </c>
    </row>
    <row r="102">
      <c r="A102" s="11" t="s">
        <v>94</v>
      </c>
      <c r="B102" s="11">
        <v>1.0</v>
      </c>
      <c r="C102" s="11" t="s">
        <v>546</v>
      </c>
      <c r="D102" s="11" t="s">
        <v>81</v>
      </c>
      <c r="E102" s="11">
        <v>1.0</v>
      </c>
    </row>
    <row r="103">
      <c r="A103" s="11" t="s">
        <v>94</v>
      </c>
      <c r="B103" s="11">
        <v>1.0</v>
      </c>
      <c r="C103" s="11" t="s">
        <v>1682</v>
      </c>
      <c r="D103" s="11" t="s">
        <v>81</v>
      </c>
      <c r="E103" s="11">
        <v>1.0</v>
      </c>
      <c r="F103" s="11" t="s">
        <v>1683</v>
      </c>
      <c r="G103" s="11">
        <v>2.0</v>
      </c>
    </row>
    <row r="104">
      <c r="A104" s="11" t="s">
        <v>96</v>
      </c>
      <c r="B104" s="11">
        <v>1.0</v>
      </c>
      <c r="C104" s="11" t="s">
        <v>578</v>
      </c>
      <c r="D104" s="11" t="s">
        <v>1687</v>
      </c>
      <c r="E104" s="11">
        <v>2.0</v>
      </c>
      <c r="F104" s="11" t="s">
        <v>1685</v>
      </c>
      <c r="G104" s="11">
        <v>1.0</v>
      </c>
    </row>
    <row r="105">
      <c r="A105" s="11" t="s">
        <v>99</v>
      </c>
      <c r="B105" s="11">
        <v>1.0</v>
      </c>
      <c r="C105" s="11" t="s">
        <v>578</v>
      </c>
      <c r="D105" s="11" t="s">
        <v>1687</v>
      </c>
      <c r="E105" s="11">
        <v>2.0</v>
      </c>
      <c r="F105" s="11" t="s">
        <v>89</v>
      </c>
      <c r="G105" s="11">
        <v>1.0</v>
      </c>
      <c r="H105" s="11" t="s">
        <v>52</v>
      </c>
      <c r="I105" s="11">
        <v>1.0</v>
      </c>
    </row>
    <row r="106">
      <c r="A106" s="11" t="s">
        <v>65</v>
      </c>
      <c r="B106" s="11">
        <v>1.0</v>
      </c>
      <c r="C106" s="11" t="s">
        <v>578</v>
      </c>
      <c r="D106" s="11" t="s">
        <v>67</v>
      </c>
      <c r="E106" s="11">
        <v>1.0</v>
      </c>
    </row>
    <row r="108">
      <c r="A108" s="74" t="s">
        <v>1689</v>
      </c>
      <c r="B108" s="74" t="s">
        <v>689</v>
      </c>
      <c r="C108" s="74" t="s">
        <v>1608</v>
      </c>
      <c r="D108" s="74" t="s">
        <v>1609</v>
      </c>
      <c r="E108" s="74" t="s">
        <v>1610</v>
      </c>
      <c r="F108" s="74" t="s">
        <v>1611</v>
      </c>
      <c r="G108" s="74" t="s">
        <v>1612</v>
      </c>
      <c r="H108" s="74" t="s">
        <v>1613</v>
      </c>
      <c r="I108" s="74" t="s">
        <v>1614</v>
      </c>
      <c r="J108" s="74" t="s">
        <v>1615</v>
      </c>
      <c r="K108" s="74" t="s">
        <v>1616</v>
      </c>
      <c r="L108" s="74" t="s">
        <v>1617</v>
      </c>
      <c r="M108" s="74" t="s">
        <v>1618</v>
      </c>
      <c r="N108" s="74" t="s">
        <v>1619</v>
      </c>
      <c r="O108" s="74" t="s">
        <v>1620</v>
      </c>
      <c r="P108" s="74" t="s">
        <v>1621</v>
      </c>
      <c r="Q108" s="74" t="s">
        <v>1622</v>
      </c>
      <c r="R108" s="74" t="s">
        <v>1623</v>
      </c>
      <c r="S108" s="74" t="s">
        <v>1624</v>
      </c>
      <c r="T108" s="74" t="s">
        <v>1625</v>
      </c>
      <c r="U108" s="74" t="s">
        <v>1626</v>
      </c>
      <c r="V108" s="74" t="s">
        <v>1627</v>
      </c>
      <c r="W108" s="74" t="s">
        <v>1628</v>
      </c>
    </row>
    <row r="109">
      <c r="A109" s="11" t="s">
        <v>18</v>
      </c>
      <c r="B109" s="11">
        <v>1.0</v>
      </c>
      <c r="C109" s="11" t="s">
        <v>1629</v>
      </c>
      <c r="D109" s="11" t="s">
        <v>1632</v>
      </c>
      <c r="E109" s="11">
        <v>3.0</v>
      </c>
      <c r="F109" s="11" t="s">
        <v>1652</v>
      </c>
      <c r="G109" s="11">
        <v>1.0</v>
      </c>
      <c r="H109" s="11" t="s">
        <v>1690</v>
      </c>
      <c r="I109" s="11">
        <v>2.0</v>
      </c>
      <c r="J109" s="11" t="s">
        <v>1634</v>
      </c>
      <c r="K109" s="11">
        <v>1.0</v>
      </c>
    </row>
    <row r="110">
      <c r="A110" s="11" t="s">
        <v>174</v>
      </c>
      <c r="B110" s="11">
        <v>1.0</v>
      </c>
      <c r="C110" s="11" t="s">
        <v>1629</v>
      </c>
      <c r="D110" s="11" t="s">
        <v>1690</v>
      </c>
      <c r="E110" s="11">
        <v>1.0</v>
      </c>
      <c r="F110" s="11" t="s">
        <v>1634</v>
      </c>
      <c r="G110" s="11">
        <v>1.0</v>
      </c>
      <c r="H110" s="11" t="s">
        <v>1636</v>
      </c>
      <c r="I110" s="11">
        <v>2.0</v>
      </c>
    </row>
    <row r="111">
      <c r="A111" s="11" t="s">
        <v>174</v>
      </c>
      <c r="B111" s="11">
        <v>1.0</v>
      </c>
      <c r="C111" s="11" t="s">
        <v>634</v>
      </c>
      <c r="D111" s="11" t="s">
        <v>1690</v>
      </c>
      <c r="E111" s="11">
        <v>1.0</v>
      </c>
      <c r="F111" s="11" t="s">
        <v>1634</v>
      </c>
      <c r="G111" s="11">
        <v>1.0</v>
      </c>
      <c r="H111" s="11" t="s">
        <v>1636</v>
      </c>
      <c r="I111" s="11">
        <v>2.0</v>
      </c>
    </row>
    <row r="112">
      <c r="A112" s="11" t="s">
        <v>176</v>
      </c>
      <c r="B112" s="11">
        <v>1.0</v>
      </c>
      <c r="C112" s="11" t="s">
        <v>1637</v>
      </c>
      <c r="D112" s="11" t="s">
        <v>1665</v>
      </c>
      <c r="E112" s="11">
        <v>1.0</v>
      </c>
      <c r="F112" s="11" t="s">
        <v>1638</v>
      </c>
      <c r="G112" s="11">
        <v>1.0</v>
      </c>
      <c r="H112" s="11" t="s">
        <v>1639</v>
      </c>
      <c r="I112" s="11">
        <v>2.0</v>
      </c>
    </row>
    <row r="113">
      <c r="A113" s="11" t="s">
        <v>176</v>
      </c>
      <c r="B113" s="11">
        <v>1.0</v>
      </c>
      <c r="C113" s="11" t="s">
        <v>634</v>
      </c>
      <c r="D113" s="11" t="s">
        <v>1665</v>
      </c>
      <c r="E113" s="11">
        <v>1.0</v>
      </c>
      <c r="F113" s="11" t="s">
        <v>1638</v>
      </c>
      <c r="G113" s="11">
        <v>1.0</v>
      </c>
      <c r="H113" s="11" t="s">
        <v>1639</v>
      </c>
      <c r="I113" s="11">
        <v>2.0</v>
      </c>
    </row>
    <row r="114">
      <c r="A114" s="11" t="s">
        <v>171</v>
      </c>
      <c r="B114" s="11">
        <v>1.0</v>
      </c>
      <c r="C114" s="11" t="s">
        <v>1637</v>
      </c>
      <c r="D114" s="11" t="s">
        <v>1665</v>
      </c>
      <c r="E114" s="11">
        <v>1.0</v>
      </c>
      <c r="F114" s="11" t="s">
        <v>1681</v>
      </c>
      <c r="G114" s="11">
        <v>1.0</v>
      </c>
    </row>
    <row r="115">
      <c r="A115" s="11" t="s">
        <v>171</v>
      </c>
      <c r="B115" s="11">
        <v>1.0</v>
      </c>
      <c r="C115" s="11" t="s">
        <v>634</v>
      </c>
      <c r="D115" s="11" t="s">
        <v>1665</v>
      </c>
      <c r="E115" s="11">
        <v>1.0</v>
      </c>
      <c r="F115" s="11" t="s">
        <v>1681</v>
      </c>
      <c r="G115" s="11">
        <v>1.0</v>
      </c>
    </row>
    <row r="117">
      <c r="A117" s="74" t="s">
        <v>1691</v>
      </c>
      <c r="B117" s="74" t="s">
        <v>689</v>
      </c>
      <c r="C117" s="74" t="s">
        <v>1608</v>
      </c>
      <c r="D117" s="74" t="s">
        <v>1609</v>
      </c>
      <c r="E117" s="74" t="s">
        <v>1610</v>
      </c>
      <c r="F117" s="74" t="s">
        <v>1611</v>
      </c>
      <c r="G117" s="74" t="s">
        <v>1612</v>
      </c>
      <c r="H117" s="74" t="s">
        <v>1613</v>
      </c>
      <c r="I117" s="74" t="s">
        <v>1614</v>
      </c>
      <c r="J117" s="74" t="s">
        <v>1615</v>
      </c>
      <c r="K117" s="74" t="s">
        <v>1616</v>
      </c>
      <c r="L117" s="74" t="s">
        <v>1617</v>
      </c>
      <c r="M117" s="74" t="s">
        <v>1618</v>
      </c>
      <c r="N117" s="74" t="s">
        <v>1619</v>
      </c>
      <c r="O117" s="74" t="s">
        <v>1620</v>
      </c>
      <c r="P117" s="74" t="s">
        <v>1621</v>
      </c>
      <c r="Q117" s="74" t="s">
        <v>1622</v>
      </c>
      <c r="R117" s="74" t="s">
        <v>1623</v>
      </c>
      <c r="S117" s="74" t="s">
        <v>1624</v>
      </c>
      <c r="T117" s="74" t="s">
        <v>1625</v>
      </c>
      <c r="U117" s="74" t="s">
        <v>1626</v>
      </c>
      <c r="V117" s="74" t="s">
        <v>1627</v>
      </c>
      <c r="W117" s="74" t="s">
        <v>1628</v>
      </c>
    </row>
    <row r="118">
      <c r="A118" s="11" t="s">
        <v>1692</v>
      </c>
      <c r="B118" s="11">
        <v>1.0</v>
      </c>
      <c r="C118" s="11" t="s">
        <v>540</v>
      </c>
      <c r="D118" s="11" t="s">
        <v>1693</v>
      </c>
      <c r="E118" s="11">
        <v>3.0</v>
      </c>
    </row>
    <row r="119">
      <c r="A119" s="11" t="s">
        <v>1692</v>
      </c>
      <c r="B119" s="11">
        <v>1.0</v>
      </c>
      <c r="C119" s="11" t="s">
        <v>634</v>
      </c>
      <c r="D119" s="11" t="s">
        <v>1693</v>
      </c>
      <c r="E119" s="11">
        <v>3.0</v>
      </c>
      <c r="F119" s="11" t="s">
        <v>1683</v>
      </c>
      <c r="G119" s="11">
        <v>3.0</v>
      </c>
    </row>
    <row r="120">
      <c r="A120" s="11" t="s">
        <v>1694</v>
      </c>
      <c r="B120" s="11">
        <v>2.0</v>
      </c>
      <c r="C120" s="11" t="s">
        <v>544</v>
      </c>
      <c r="D120" s="11" t="s">
        <v>1695</v>
      </c>
      <c r="E120" s="11">
        <v>1.0</v>
      </c>
    </row>
    <row r="121">
      <c r="A121" s="11" t="s">
        <v>1681</v>
      </c>
      <c r="B121" s="11">
        <v>6.0</v>
      </c>
      <c r="C121" s="11" t="s">
        <v>634</v>
      </c>
      <c r="D121" s="11" t="s">
        <v>1693</v>
      </c>
      <c r="E121" s="11">
        <v>1.0</v>
      </c>
    </row>
    <row r="122">
      <c r="A122" s="11" t="s">
        <v>1663</v>
      </c>
      <c r="B122" s="11">
        <v>2.0</v>
      </c>
      <c r="C122" s="11" t="s">
        <v>600</v>
      </c>
      <c r="D122" s="11" t="s">
        <v>1696</v>
      </c>
      <c r="E122" s="11">
        <v>1.0</v>
      </c>
    </row>
    <row r="123">
      <c r="A123" s="11" t="s">
        <v>1697</v>
      </c>
      <c r="B123" s="11">
        <v>2.0</v>
      </c>
      <c r="C123" s="11" t="s">
        <v>544</v>
      </c>
      <c r="D123" s="11" t="s">
        <v>1698</v>
      </c>
      <c r="E123" s="11">
        <v>1.0</v>
      </c>
    </row>
    <row r="124">
      <c r="A124" s="11" t="s">
        <v>1697</v>
      </c>
      <c r="B124" s="11">
        <v>1.0</v>
      </c>
      <c r="C124" s="11" t="s">
        <v>634</v>
      </c>
      <c r="D124" s="11" t="s">
        <v>1698</v>
      </c>
      <c r="E124" s="11">
        <v>2.0</v>
      </c>
      <c r="F124" s="11" t="s">
        <v>1683</v>
      </c>
      <c r="G124" s="11">
        <v>3.0</v>
      </c>
    </row>
    <row r="125">
      <c r="A125" s="11" t="s">
        <v>1699</v>
      </c>
      <c r="B125" s="11">
        <v>3.0</v>
      </c>
      <c r="C125" s="11" t="s">
        <v>634</v>
      </c>
      <c r="D125" s="11" t="s">
        <v>1700</v>
      </c>
      <c r="E125" s="11">
        <v>2.0</v>
      </c>
      <c r="F125" s="11" t="s">
        <v>1701</v>
      </c>
      <c r="G125" s="11">
        <v>10.0</v>
      </c>
    </row>
    <row r="126">
      <c r="A126" s="11" t="s">
        <v>1687</v>
      </c>
      <c r="B126" s="11">
        <v>1.0</v>
      </c>
      <c r="C126" s="11" t="s">
        <v>544</v>
      </c>
      <c r="D126" s="11" t="s">
        <v>1702</v>
      </c>
      <c r="E126" s="11">
        <v>1.0</v>
      </c>
    </row>
    <row r="127">
      <c r="A127" s="11" t="s">
        <v>1703</v>
      </c>
      <c r="B127" s="11">
        <v>1.0</v>
      </c>
      <c r="C127" s="11" t="s">
        <v>606</v>
      </c>
      <c r="D127" s="11" t="s">
        <v>1704</v>
      </c>
      <c r="E127" s="11">
        <v>1.0</v>
      </c>
    </row>
    <row r="128">
      <c r="A128" s="11" t="s">
        <v>1705</v>
      </c>
      <c r="B128" s="11">
        <v>1.0</v>
      </c>
      <c r="C128" s="11" t="s">
        <v>540</v>
      </c>
      <c r="D128" s="11" t="s">
        <v>1706</v>
      </c>
      <c r="E128" s="11">
        <v>3.0</v>
      </c>
    </row>
    <row r="129">
      <c r="A129" s="11" t="s">
        <v>1705</v>
      </c>
      <c r="B129" s="11">
        <v>1.0</v>
      </c>
      <c r="C129" s="11" t="s">
        <v>634</v>
      </c>
      <c r="D129" s="11" t="s">
        <v>1706</v>
      </c>
      <c r="E129" s="11">
        <v>3.0</v>
      </c>
      <c r="F129" s="11" t="s">
        <v>1683</v>
      </c>
      <c r="G129" s="11">
        <v>3.0</v>
      </c>
    </row>
    <row r="130">
      <c r="A130" s="11" t="s">
        <v>1651</v>
      </c>
      <c r="B130" s="11">
        <v>1.0</v>
      </c>
      <c r="C130" s="11" t="s">
        <v>540</v>
      </c>
      <c r="D130" s="11" t="s">
        <v>1707</v>
      </c>
      <c r="E130" s="11">
        <v>3.0</v>
      </c>
    </row>
    <row r="131">
      <c r="A131" s="40" t="s">
        <v>1630</v>
      </c>
      <c r="B131" s="11">
        <v>1.0</v>
      </c>
      <c r="C131" s="11" t="s">
        <v>520</v>
      </c>
      <c r="D131" s="11" t="s">
        <v>1708</v>
      </c>
      <c r="E131" s="11">
        <v>1.0</v>
      </c>
    </row>
    <row r="132">
      <c r="A132" s="11" t="s">
        <v>1675</v>
      </c>
      <c r="B132" s="11">
        <v>1.0</v>
      </c>
      <c r="C132" s="11" t="s">
        <v>634</v>
      </c>
      <c r="D132" s="11" t="s">
        <v>1701</v>
      </c>
      <c r="E132" s="11">
        <v>10.0</v>
      </c>
      <c r="F132" s="11" t="s">
        <v>1709</v>
      </c>
      <c r="G132" s="11">
        <v>1.0</v>
      </c>
      <c r="H132" s="11" t="s">
        <v>1710</v>
      </c>
      <c r="I132" s="11">
        <v>1.0</v>
      </c>
    </row>
    <row r="133">
      <c r="A133" s="11" t="s">
        <v>1690</v>
      </c>
      <c r="B133" s="11">
        <v>1.0</v>
      </c>
      <c r="C133" s="11" t="s">
        <v>634</v>
      </c>
      <c r="D133" s="11" t="s">
        <v>1665</v>
      </c>
      <c r="E133" s="11">
        <v>1.0</v>
      </c>
      <c r="F133" s="11" t="s">
        <v>1681</v>
      </c>
      <c r="G133" s="11">
        <v>1.0</v>
      </c>
    </row>
    <row r="134">
      <c r="A134" s="11" t="s">
        <v>1652</v>
      </c>
      <c r="B134" s="11">
        <v>1.0</v>
      </c>
      <c r="C134" s="11" t="s">
        <v>548</v>
      </c>
      <c r="D134" s="11" t="s">
        <v>1711</v>
      </c>
      <c r="E134" s="11">
        <v>1.0</v>
      </c>
    </row>
    <row r="135">
      <c r="A135" s="11" t="s">
        <v>1668</v>
      </c>
      <c r="B135" s="11">
        <v>1.0</v>
      </c>
      <c r="C135" s="11" t="s">
        <v>520</v>
      </c>
      <c r="D135" s="11" t="s">
        <v>1712</v>
      </c>
      <c r="E135" s="11">
        <v>1.0</v>
      </c>
    </row>
    <row r="136">
      <c r="A136" s="11" t="s">
        <v>1668</v>
      </c>
      <c r="B136" s="11">
        <v>1.0</v>
      </c>
      <c r="C136" s="11" t="s">
        <v>634</v>
      </c>
      <c r="D136" s="11" t="s">
        <v>1712</v>
      </c>
      <c r="E136" s="11">
        <v>1.0</v>
      </c>
      <c r="F136" s="11" t="s">
        <v>1683</v>
      </c>
      <c r="G136" s="11">
        <v>3.0</v>
      </c>
    </row>
    <row r="137">
      <c r="A137" s="11" t="s">
        <v>1635</v>
      </c>
      <c r="B137" s="11">
        <v>1.0</v>
      </c>
      <c r="C137" s="11" t="s">
        <v>540</v>
      </c>
      <c r="D137" s="11" t="s">
        <v>1713</v>
      </c>
      <c r="E137" s="11">
        <v>3.0</v>
      </c>
      <c r="F137" s="11" t="s">
        <v>1706</v>
      </c>
      <c r="G137" s="11">
        <v>3.0</v>
      </c>
    </row>
    <row r="138">
      <c r="A138" s="11" t="s">
        <v>1674</v>
      </c>
      <c r="B138" s="11">
        <v>3.0</v>
      </c>
      <c r="C138" s="11" t="s">
        <v>634</v>
      </c>
      <c r="D138" s="11" t="s">
        <v>1704</v>
      </c>
      <c r="E138" s="11">
        <v>3.0</v>
      </c>
      <c r="F138" s="11" t="s">
        <v>1683</v>
      </c>
      <c r="G138" s="11">
        <v>3.0</v>
      </c>
    </row>
    <row r="139">
      <c r="A139" s="11" t="s">
        <v>1633</v>
      </c>
      <c r="B139" s="11">
        <v>1.0</v>
      </c>
      <c r="C139" s="11" t="s">
        <v>548</v>
      </c>
      <c r="D139" s="11" t="s">
        <v>1636</v>
      </c>
      <c r="E139" s="11">
        <v>1.0</v>
      </c>
      <c r="F139" s="11" t="s">
        <v>1714</v>
      </c>
      <c r="G139" s="11">
        <v>1.0</v>
      </c>
      <c r="H139" s="11" t="s">
        <v>1715</v>
      </c>
      <c r="I139" s="11">
        <v>1.0</v>
      </c>
    </row>
    <row r="140">
      <c r="A140" s="11" t="s">
        <v>1633</v>
      </c>
      <c r="B140" s="11">
        <v>1.0</v>
      </c>
      <c r="C140" s="11" t="s">
        <v>548</v>
      </c>
      <c r="D140" s="11" t="s">
        <v>1636</v>
      </c>
      <c r="E140" s="11">
        <v>1.0</v>
      </c>
      <c r="F140" s="11" t="s">
        <v>1714</v>
      </c>
      <c r="G140" s="11">
        <v>1.0</v>
      </c>
      <c r="H140" s="11" t="s">
        <v>1716</v>
      </c>
      <c r="I140" s="11">
        <v>1.0</v>
      </c>
    </row>
    <row r="141">
      <c r="A141" s="11" t="s">
        <v>1633</v>
      </c>
      <c r="B141" s="11">
        <v>1.0</v>
      </c>
      <c r="C141" s="11" t="s">
        <v>548</v>
      </c>
      <c r="D141" s="11" t="s">
        <v>1636</v>
      </c>
      <c r="E141" s="11">
        <v>1.0</v>
      </c>
      <c r="F141" s="11" t="s">
        <v>1716</v>
      </c>
      <c r="G141" s="11">
        <v>1.0</v>
      </c>
      <c r="H141" s="11" t="s">
        <v>1715</v>
      </c>
      <c r="I141" s="11">
        <v>1.0</v>
      </c>
    </row>
    <row r="142">
      <c r="A142" s="11" t="s">
        <v>1633</v>
      </c>
      <c r="B142" s="11">
        <v>1.0</v>
      </c>
      <c r="C142" s="11" t="s">
        <v>548</v>
      </c>
      <c r="D142" s="11" t="s">
        <v>1636</v>
      </c>
      <c r="E142" s="11">
        <v>1.0</v>
      </c>
      <c r="F142" s="11" t="s">
        <v>1714</v>
      </c>
      <c r="G142" s="11">
        <v>2.0</v>
      </c>
    </row>
    <row r="143">
      <c r="A143" s="11" t="s">
        <v>1633</v>
      </c>
      <c r="B143" s="11">
        <v>1.0</v>
      </c>
      <c r="C143" s="11" t="s">
        <v>548</v>
      </c>
      <c r="D143" s="11" t="s">
        <v>1636</v>
      </c>
      <c r="E143" s="11">
        <v>1.0</v>
      </c>
      <c r="F143" s="11" t="s">
        <v>1715</v>
      </c>
      <c r="G143" s="11">
        <v>2.0</v>
      </c>
    </row>
    <row r="144">
      <c r="A144" s="11" t="s">
        <v>1633</v>
      </c>
      <c r="B144" s="11">
        <v>1.0</v>
      </c>
      <c r="C144" s="11" t="s">
        <v>548</v>
      </c>
      <c r="D144" s="11" t="s">
        <v>1636</v>
      </c>
      <c r="E144" s="11">
        <v>1.0</v>
      </c>
      <c r="F144" s="11" t="s">
        <v>1716</v>
      </c>
      <c r="G144" s="11">
        <v>2.0</v>
      </c>
    </row>
    <row r="145">
      <c r="A145" s="11" t="s">
        <v>1636</v>
      </c>
      <c r="B145" s="11">
        <v>1.0</v>
      </c>
      <c r="C145" s="11" t="s">
        <v>520</v>
      </c>
      <c r="D145" s="11" t="s">
        <v>1717</v>
      </c>
      <c r="E145" s="11">
        <v>1.0</v>
      </c>
    </row>
    <row r="146">
      <c r="A146" s="11" t="s">
        <v>1636</v>
      </c>
      <c r="B146" s="11">
        <v>1.0</v>
      </c>
      <c r="C146" s="11" t="s">
        <v>634</v>
      </c>
      <c r="D146" s="11" t="s">
        <v>1717</v>
      </c>
      <c r="E146" s="11">
        <v>1.0</v>
      </c>
      <c r="F146" s="11" t="s">
        <v>1683</v>
      </c>
      <c r="G146" s="11">
        <v>3.0</v>
      </c>
    </row>
    <row r="147">
      <c r="A147" s="11" t="s">
        <v>1639</v>
      </c>
      <c r="B147" s="11">
        <v>1.0</v>
      </c>
      <c r="C147" s="11" t="s">
        <v>520</v>
      </c>
      <c r="D147" s="11" t="s">
        <v>1718</v>
      </c>
      <c r="E147" s="11">
        <v>1.0</v>
      </c>
    </row>
    <row r="148">
      <c r="A148" s="40" t="s">
        <v>1639</v>
      </c>
      <c r="B148" s="11">
        <v>1.0</v>
      </c>
      <c r="C148" s="11" t="s">
        <v>634</v>
      </c>
      <c r="D148" s="11" t="s">
        <v>1718</v>
      </c>
      <c r="E148" s="11">
        <v>1.0</v>
      </c>
      <c r="F148" s="11" t="s">
        <v>1683</v>
      </c>
      <c r="G148" s="11">
        <v>3.0</v>
      </c>
    </row>
    <row r="149">
      <c r="A149" s="11" t="s">
        <v>1659</v>
      </c>
      <c r="B149" s="11">
        <v>1.0</v>
      </c>
      <c r="C149" s="11" t="s">
        <v>540</v>
      </c>
      <c r="D149" s="11" t="s">
        <v>1719</v>
      </c>
      <c r="E149" s="11">
        <v>3.0</v>
      </c>
    </row>
    <row r="150">
      <c r="A150" s="11" t="s">
        <v>1649</v>
      </c>
      <c r="B150" s="11">
        <v>1.0</v>
      </c>
      <c r="C150" s="11" t="s">
        <v>1637</v>
      </c>
      <c r="D150" s="11" t="s">
        <v>1665</v>
      </c>
      <c r="E150" s="11">
        <v>1.0</v>
      </c>
    </row>
    <row r="151">
      <c r="A151" s="11" t="s">
        <v>1649</v>
      </c>
      <c r="B151" s="11">
        <v>1.0</v>
      </c>
      <c r="C151" s="11" t="s">
        <v>634</v>
      </c>
      <c r="D151" s="11" t="s">
        <v>1665</v>
      </c>
      <c r="E151" s="11">
        <v>1.0</v>
      </c>
    </row>
    <row r="152">
      <c r="A152" s="11" t="s">
        <v>1665</v>
      </c>
      <c r="B152" s="11">
        <v>4.0</v>
      </c>
      <c r="C152" s="11" t="s">
        <v>634</v>
      </c>
      <c r="D152" s="11" t="s">
        <v>1720</v>
      </c>
      <c r="E152" s="11">
        <v>1.0</v>
      </c>
      <c r="F152" s="11" t="s">
        <v>1683</v>
      </c>
      <c r="G152" s="11">
        <v>3.0</v>
      </c>
    </row>
    <row r="153">
      <c r="A153" s="11" t="s">
        <v>1665</v>
      </c>
      <c r="B153" s="11">
        <v>4.0</v>
      </c>
      <c r="C153" s="11" t="s">
        <v>634</v>
      </c>
      <c r="D153" s="11" t="s">
        <v>1721</v>
      </c>
      <c r="E153" s="11">
        <v>1.0</v>
      </c>
      <c r="F153" s="11" t="s">
        <v>1683</v>
      </c>
      <c r="G153" s="11">
        <v>3.0</v>
      </c>
    </row>
    <row r="154">
      <c r="A154" s="11" t="s">
        <v>1665</v>
      </c>
      <c r="B154" s="11">
        <v>5.0</v>
      </c>
      <c r="C154" s="11" t="s">
        <v>634</v>
      </c>
      <c r="D154" s="11" t="s">
        <v>1722</v>
      </c>
      <c r="E154" s="11">
        <v>1.0</v>
      </c>
      <c r="F154" s="11" t="s">
        <v>1683</v>
      </c>
      <c r="G154" s="11">
        <v>3.0</v>
      </c>
    </row>
    <row r="155">
      <c r="A155" s="11" t="s">
        <v>1665</v>
      </c>
      <c r="B155" s="11">
        <v>4.0</v>
      </c>
      <c r="C155" s="11" t="s">
        <v>600</v>
      </c>
      <c r="D155" s="11" t="s">
        <v>1720</v>
      </c>
      <c r="E155" s="11">
        <v>1.0</v>
      </c>
    </row>
    <row r="156">
      <c r="A156" s="11" t="s">
        <v>1665</v>
      </c>
      <c r="B156" s="11">
        <v>4.0</v>
      </c>
      <c r="C156" s="11" t="s">
        <v>600</v>
      </c>
      <c r="D156" s="11" t="s">
        <v>1721</v>
      </c>
      <c r="E156" s="11">
        <v>1.0</v>
      </c>
    </row>
    <row r="157">
      <c r="A157" s="11" t="s">
        <v>1665</v>
      </c>
      <c r="B157" s="11">
        <v>5.0</v>
      </c>
      <c r="C157" s="11" t="s">
        <v>600</v>
      </c>
      <c r="D157" s="11" t="s">
        <v>1722</v>
      </c>
      <c r="E157" s="11">
        <v>1.0</v>
      </c>
    </row>
    <row r="158">
      <c r="A158" s="11" t="s">
        <v>1723</v>
      </c>
      <c r="B158" s="11">
        <v>1.0</v>
      </c>
      <c r="C158" s="11" t="s">
        <v>1629</v>
      </c>
      <c r="D158" s="11" t="s">
        <v>1639</v>
      </c>
      <c r="E158" s="11">
        <v>1.0</v>
      </c>
      <c r="F158" s="11" t="s">
        <v>1665</v>
      </c>
      <c r="G158" s="11">
        <v>1.0</v>
      </c>
      <c r="H158" s="11" t="s">
        <v>213</v>
      </c>
      <c r="I158" s="11">
        <v>1.0</v>
      </c>
    </row>
    <row r="159">
      <c r="A159" s="11" t="s">
        <v>1724</v>
      </c>
      <c r="B159" s="11">
        <v>1.0</v>
      </c>
      <c r="C159" s="11" t="s">
        <v>1629</v>
      </c>
      <c r="D159" s="11" t="s">
        <v>1639</v>
      </c>
      <c r="E159" s="11">
        <v>1.0</v>
      </c>
      <c r="F159" s="11" t="s">
        <v>1665</v>
      </c>
      <c r="G159" s="11">
        <v>2.0</v>
      </c>
      <c r="H159" s="11" t="s">
        <v>1630</v>
      </c>
      <c r="I159" s="11">
        <v>1.0</v>
      </c>
    </row>
    <row r="160">
      <c r="A160" s="11" t="s">
        <v>1725</v>
      </c>
      <c r="B160" s="11">
        <v>1.0</v>
      </c>
      <c r="C160" s="11" t="s">
        <v>1629</v>
      </c>
      <c r="D160" s="11" t="s">
        <v>1639</v>
      </c>
      <c r="E160" s="11">
        <v>1.0</v>
      </c>
      <c r="F160" s="11" t="s">
        <v>1726</v>
      </c>
      <c r="G160" s="11">
        <v>1.0</v>
      </c>
      <c r="H160" s="11" t="s">
        <v>1630</v>
      </c>
      <c r="I160" s="11">
        <v>1.0</v>
      </c>
    </row>
    <row r="161">
      <c r="A161" s="11" t="s">
        <v>1638</v>
      </c>
      <c r="B161" s="11">
        <v>1.0</v>
      </c>
      <c r="C161" s="11" t="s">
        <v>490</v>
      </c>
      <c r="D161" s="11" t="s">
        <v>1727</v>
      </c>
      <c r="E161" s="11">
        <v>1.0</v>
      </c>
    </row>
    <row r="162">
      <c r="A162" s="11" t="s">
        <v>1638</v>
      </c>
      <c r="B162" s="11">
        <v>1.0</v>
      </c>
      <c r="C162" s="11" t="s">
        <v>616</v>
      </c>
      <c r="D162" s="11" t="s">
        <v>1692</v>
      </c>
      <c r="E162" s="11">
        <v>1.0</v>
      </c>
    </row>
    <row r="163">
      <c r="A163" s="11" t="s">
        <v>1638</v>
      </c>
      <c r="B163" s="11">
        <v>1.0</v>
      </c>
      <c r="C163" s="11" t="s">
        <v>634</v>
      </c>
      <c r="D163" s="11" t="s">
        <v>1692</v>
      </c>
      <c r="E163" s="11">
        <v>1.0</v>
      </c>
      <c r="F163" s="11" t="s">
        <v>1683</v>
      </c>
      <c r="G163" s="11">
        <v>8.0</v>
      </c>
    </row>
    <row r="164">
      <c r="A164" s="11" t="s">
        <v>1728</v>
      </c>
      <c r="B164" s="11">
        <v>1.0</v>
      </c>
      <c r="C164" s="11" t="s">
        <v>490</v>
      </c>
      <c r="D164" s="11" t="s">
        <v>1727</v>
      </c>
      <c r="E164" s="11">
        <v>1.0</v>
      </c>
    </row>
    <row r="165">
      <c r="A165" s="11" t="s">
        <v>1728</v>
      </c>
      <c r="B165" s="11">
        <v>1.0</v>
      </c>
      <c r="C165" s="11" t="s">
        <v>616</v>
      </c>
      <c r="D165" s="11" t="s">
        <v>1692</v>
      </c>
      <c r="E165" s="11">
        <v>1.0</v>
      </c>
    </row>
    <row r="166">
      <c r="A166" s="11" t="s">
        <v>1728</v>
      </c>
      <c r="B166" s="11">
        <v>1.0</v>
      </c>
      <c r="C166" s="11" t="s">
        <v>634</v>
      </c>
      <c r="D166" s="11" t="s">
        <v>1692</v>
      </c>
      <c r="E166" s="11">
        <v>1.0</v>
      </c>
      <c r="F166" s="11" t="s">
        <v>1683</v>
      </c>
      <c r="G166" s="11">
        <v>8.0</v>
      </c>
    </row>
    <row r="167">
      <c r="A167" s="11" t="s">
        <v>1653</v>
      </c>
      <c r="B167" s="11">
        <v>1.0</v>
      </c>
      <c r="C167" s="11" t="s">
        <v>490</v>
      </c>
      <c r="D167" s="11" t="s">
        <v>1727</v>
      </c>
      <c r="E167" s="11">
        <v>1.0</v>
      </c>
    </row>
    <row r="168">
      <c r="A168" s="11" t="s">
        <v>1653</v>
      </c>
      <c r="B168" s="11">
        <v>1.0</v>
      </c>
      <c r="C168" s="11" t="s">
        <v>616</v>
      </c>
      <c r="D168" s="11" t="s">
        <v>1692</v>
      </c>
      <c r="E168" s="11">
        <v>1.0</v>
      </c>
    </row>
    <row r="169">
      <c r="A169" s="11" t="s">
        <v>1653</v>
      </c>
      <c r="B169" s="11">
        <v>1.0</v>
      </c>
      <c r="C169" s="11" t="s">
        <v>634</v>
      </c>
      <c r="D169" s="11" t="s">
        <v>1692</v>
      </c>
      <c r="E169" s="11">
        <v>1.0</v>
      </c>
      <c r="F169" s="11" t="s">
        <v>1683</v>
      </c>
      <c r="G169" s="11">
        <v>8.0</v>
      </c>
    </row>
    <row r="170">
      <c r="A170" s="11" t="s">
        <v>1666</v>
      </c>
      <c r="B170" s="11">
        <v>1.0</v>
      </c>
      <c r="C170" s="11" t="s">
        <v>490</v>
      </c>
      <c r="D170" s="11" t="s">
        <v>1727</v>
      </c>
      <c r="E170" s="11">
        <v>1.0</v>
      </c>
    </row>
    <row r="171">
      <c r="A171" s="11" t="s">
        <v>1666</v>
      </c>
      <c r="B171" s="11">
        <v>1.0</v>
      </c>
      <c r="C171" s="11" t="s">
        <v>616</v>
      </c>
      <c r="D171" s="11" t="s">
        <v>1692</v>
      </c>
      <c r="E171" s="11">
        <v>1.0</v>
      </c>
    </row>
    <row r="172">
      <c r="A172" s="11" t="s">
        <v>1666</v>
      </c>
      <c r="B172" s="11">
        <v>1.0</v>
      </c>
      <c r="C172" s="11" t="s">
        <v>634</v>
      </c>
      <c r="D172" s="11" t="s">
        <v>1692</v>
      </c>
      <c r="E172" s="11">
        <v>1.0</v>
      </c>
      <c r="F172" s="11" t="s">
        <v>1683</v>
      </c>
      <c r="G172" s="11">
        <v>8.0</v>
      </c>
    </row>
    <row r="173">
      <c r="A173" s="11" t="s">
        <v>1657</v>
      </c>
      <c r="B173" s="11">
        <v>1.0</v>
      </c>
      <c r="C173" s="11" t="s">
        <v>490</v>
      </c>
      <c r="D173" s="11" t="s">
        <v>1727</v>
      </c>
      <c r="E173" s="11">
        <v>1.0</v>
      </c>
    </row>
    <row r="174">
      <c r="A174" s="11" t="s">
        <v>1657</v>
      </c>
      <c r="B174" s="11">
        <v>1.0</v>
      </c>
      <c r="C174" s="11" t="s">
        <v>616</v>
      </c>
      <c r="D174" s="11" t="s">
        <v>1692</v>
      </c>
      <c r="E174" s="11">
        <v>1.0</v>
      </c>
    </row>
    <row r="175">
      <c r="A175" s="11" t="s">
        <v>1657</v>
      </c>
      <c r="B175" s="11">
        <v>1.0</v>
      </c>
      <c r="C175" s="11" t="s">
        <v>634</v>
      </c>
      <c r="D175" s="11" t="s">
        <v>1692</v>
      </c>
      <c r="E175" s="11">
        <v>1.0</v>
      </c>
      <c r="F175" s="11" t="s">
        <v>1683</v>
      </c>
      <c r="G175" s="11">
        <v>8.0</v>
      </c>
    </row>
    <row r="176">
      <c r="A176" s="11" t="s">
        <v>1634</v>
      </c>
      <c r="B176" s="11">
        <v>1.0</v>
      </c>
      <c r="C176" s="11" t="s">
        <v>490</v>
      </c>
      <c r="D176" s="11" t="s">
        <v>1729</v>
      </c>
      <c r="E176" s="11">
        <v>1.0</v>
      </c>
    </row>
    <row r="177">
      <c r="A177" s="11" t="s">
        <v>1634</v>
      </c>
      <c r="B177" s="11">
        <v>1.0</v>
      </c>
      <c r="C177" s="11" t="s">
        <v>616</v>
      </c>
      <c r="D177" s="11" t="s">
        <v>1730</v>
      </c>
      <c r="E177" s="11">
        <v>1.0</v>
      </c>
    </row>
    <row r="178">
      <c r="A178" s="11" t="s">
        <v>1634</v>
      </c>
      <c r="B178" s="11">
        <v>1.0</v>
      </c>
      <c r="C178" s="11" t="s">
        <v>634</v>
      </c>
      <c r="D178" s="11" t="s">
        <v>1730</v>
      </c>
      <c r="E178" s="11">
        <v>1.0</v>
      </c>
      <c r="F178" s="11" t="s">
        <v>1683</v>
      </c>
      <c r="G178" s="11">
        <v>15.0</v>
      </c>
    </row>
    <row r="179">
      <c r="A179" s="11" t="s">
        <v>1654</v>
      </c>
      <c r="B179" s="11">
        <v>1.0</v>
      </c>
      <c r="C179" s="11" t="s">
        <v>490</v>
      </c>
      <c r="D179" s="11" t="s">
        <v>1729</v>
      </c>
      <c r="E179" s="11">
        <v>1.0</v>
      </c>
    </row>
    <row r="180">
      <c r="A180" s="11" t="s">
        <v>1654</v>
      </c>
      <c r="B180" s="11">
        <v>1.0</v>
      </c>
      <c r="C180" s="11" t="s">
        <v>616</v>
      </c>
      <c r="D180" s="11" t="s">
        <v>1730</v>
      </c>
      <c r="E180" s="11">
        <v>1.0</v>
      </c>
    </row>
    <row r="181">
      <c r="A181" s="11" t="s">
        <v>1654</v>
      </c>
      <c r="B181" s="11">
        <v>1.0</v>
      </c>
      <c r="C181" s="11" t="s">
        <v>634</v>
      </c>
      <c r="D181" s="11" t="s">
        <v>1730</v>
      </c>
      <c r="E181" s="11">
        <v>1.0</v>
      </c>
      <c r="F181" s="11" t="s">
        <v>1683</v>
      </c>
      <c r="G181" s="11">
        <v>15.0</v>
      </c>
    </row>
    <row r="182">
      <c r="A182" s="11" t="s">
        <v>1650</v>
      </c>
      <c r="B182" s="11">
        <v>1.0</v>
      </c>
      <c r="C182" s="11" t="s">
        <v>490</v>
      </c>
      <c r="D182" s="11" t="s">
        <v>1729</v>
      </c>
      <c r="E182" s="11">
        <v>1.0</v>
      </c>
    </row>
    <row r="183">
      <c r="A183" s="11" t="s">
        <v>1650</v>
      </c>
      <c r="B183" s="11">
        <v>1.0</v>
      </c>
      <c r="C183" s="11" t="s">
        <v>616</v>
      </c>
      <c r="D183" s="11" t="s">
        <v>1730</v>
      </c>
      <c r="E183" s="11">
        <v>1.0</v>
      </c>
    </row>
    <row r="184">
      <c r="A184" s="11" t="s">
        <v>1650</v>
      </c>
      <c r="B184" s="11">
        <v>1.0</v>
      </c>
      <c r="C184" s="11" t="s">
        <v>634</v>
      </c>
      <c r="D184" s="11" t="s">
        <v>1730</v>
      </c>
      <c r="E184" s="11">
        <v>1.0</v>
      </c>
      <c r="F184" s="11" t="s">
        <v>1683</v>
      </c>
      <c r="G184" s="11">
        <v>15.0</v>
      </c>
    </row>
    <row r="185">
      <c r="A185" s="11" t="s">
        <v>1655</v>
      </c>
      <c r="B185" s="11">
        <v>1.0</v>
      </c>
      <c r="C185" s="11" t="s">
        <v>490</v>
      </c>
      <c r="D185" s="11" t="s">
        <v>1729</v>
      </c>
      <c r="E185" s="11">
        <v>1.0</v>
      </c>
    </row>
    <row r="186">
      <c r="A186" s="11" t="s">
        <v>1655</v>
      </c>
      <c r="B186" s="11">
        <v>1.0</v>
      </c>
      <c r="C186" s="11" t="s">
        <v>616</v>
      </c>
      <c r="D186" s="11" t="s">
        <v>1730</v>
      </c>
      <c r="E186" s="11">
        <v>1.0</v>
      </c>
    </row>
    <row r="187">
      <c r="A187" s="11" t="s">
        <v>1655</v>
      </c>
      <c r="B187" s="11">
        <v>1.0</v>
      </c>
      <c r="C187" s="11" t="s">
        <v>634</v>
      </c>
      <c r="D187" s="11" t="s">
        <v>1730</v>
      </c>
      <c r="E187" s="11">
        <v>1.0</v>
      </c>
      <c r="F187" s="11" t="s">
        <v>1683</v>
      </c>
      <c r="G187" s="11">
        <v>15.0</v>
      </c>
    </row>
    <row r="188">
      <c r="A188" s="11" t="s">
        <v>1664</v>
      </c>
      <c r="B188" s="11">
        <v>1.0</v>
      </c>
      <c r="C188" s="11" t="s">
        <v>490</v>
      </c>
      <c r="D188" s="11" t="s">
        <v>1729</v>
      </c>
      <c r="E188" s="11">
        <v>1.0</v>
      </c>
    </row>
    <row r="189">
      <c r="A189" s="11" t="s">
        <v>1664</v>
      </c>
      <c r="B189" s="11">
        <v>1.0</v>
      </c>
      <c r="C189" s="11" t="s">
        <v>616</v>
      </c>
      <c r="D189" s="11" t="s">
        <v>1730</v>
      </c>
      <c r="E189" s="11">
        <v>1.0</v>
      </c>
    </row>
    <row r="190">
      <c r="A190" s="11" t="s">
        <v>1664</v>
      </c>
      <c r="B190" s="11">
        <v>1.0</v>
      </c>
      <c r="C190" s="11" t="s">
        <v>634</v>
      </c>
      <c r="D190" s="11" t="s">
        <v>1730</v>
      </c>
      <c r="E190" s="11">
        <v>1.0</v>
      </c>
      <c r="F190" s="11" t="s">
        <v>1683</v>
      </c>
      <c r="G190" s="11">
        <v>15.0</v>
      </c>
    </row>
    <row r="191">
      <c r="A191" s="11" t="s">
        <v>1673</v>
      </c>
      <c r="B191" s="11">
        <v>1.0</v>
      </c>
      <c r="C191" s="11" t="s">
        <v>1629</v>
      </c>
      <c r="D191" s="11" t="s">
        <v>1674</v>
      </c>
      <c r="E191" s="11">
        <v>1.0</v>
      </c>
      <c r="F191" s="11" t="s">
        <v>1675</v>
      </c>
      <c r="G191" s="11">
        <v>1.0</v>
      </c>
    </row>
    <row r="192">
      <c r="A192" s="11" t="s">
        <v>1731</v>
      </c>
      <c r="B192" s="11">
        <v>1.0</v>
      </c>
      <c r="C192" s="11" t="s">
        <v>1658</v>
      </c>
      <c r="D192" s="11" t="s">
        <v>1631</v>
      </c>
      <c r="E192" s="11">
        <v>1.0</v>
      </c>
    </row>
    <row r="193">
      <c r="A193" s="11" t="s">
        <v>1726</v>
      </c>
      <c r="B193" s="11">
        <v>1.0</v>
      </c>
      <c r="C193" s="11" t="s">
        <v>1629</v>
      </c>
      <c r="D193" s="11" t="s">
        <v>1665</v>
      </c>
      <c r="E193" s="11">
        <v>1.0</v>
      </c>
    </row>
    <row r="194">
      <c r="A194" s="11" t="s">
        <v>1726</v>
      </c>
      <c r="B194" s="11">
        <v>1.0</v>
      </c>
      <c r="C194" s="11" t="s">
        <v>634</v>
      </c>
      <c r="D194" s="11" t="s">
        <v>1665</v>
      </c>
      <c r="E194" s="11">
        <v>1.0</v>
      </c>
    </row>
    <row r="195">
      <c r="A195" s="11" t="s">
        <v>1732</v>
      </c>
      <c r="B195" s="11">
        <v>25.0</v>
      </c>
      <c r="C195" s="11" t="s">
        <v>1637</v>
      </c>
      <c r="D195" s="11" t="s">
        <v>1665</v>
      </c>
      <c r="E195" s="11">
        <v>5.0</v>
      </c>
    </row>
    <row r="196">
      <c r="A196" s="11" t="s">
        <v>1732</v>
      </c>
      <c r="B196" s="11">
        <v>25.0</v>
      </c>
      <c r="C196" s="11" t="s">
        <v>634</v>
      </c>
      <c r="D196" s="11" t="s">
        <v>1665</v>
      </c>
      <c r="E196" s="11">
        <v>5.0</v>
      </c>
    </row>
    <row r="198">
      <c r="A198" s="74" t="s">
        <v>1733</v>
      </c>
      <c r="B198" s="74" t="s">
        <v>1734</v>
      </c>
      <c r="C198" s="74" t="s">
        <v>1608</v>
      </c>
      <c r="D198" s="74" t="s">
        <v>1609</v>
      </c>
      <c r="E198" s="74" t="s">
        <v>1610</v>
      </c>
      <c r="F198" s="74" t="s">
        <v>1611</v>
      </c>
      <c r="G198" s="74" t="s">
        <v>1612</v>
      </c>
      <c r="H198" s="74" t="s">
        <v>1613</v>
      </c>
      <c r="I198" s="74" t="s">
        <v>1614</v>
      </c>
      <c r="J198" s="74" t="s">
        <v>1615</v>
      </c>
      <c r="K198" s="74" t="s">
        <v>1616</v>
      </c>
      <c r="L198" s="74" t="s">
        <v>1617</v>
      </c>
      <c r="M198" s="74" t="s">
        <v>1618</v>
      </c>
      <c r="N198" s="74" t="s">
        <v>1619</v>
      </c>
      <c r="O198" s="74" t="s">
        <v>1620</v>
      </c>
      <c r="P198" s="74" t="s">
        <v>1621</v>
      </c>
      <c r="Q198" s="74" t="s">
        <v>1622</v>
      </c>
      <c r="R198" s="74" t="s">
        <v>1623</v>
      </c>
      <c r="S198" s="74" t="s">
        <v>1624</v>
      </c>
      <c r="T198" s="74" t="s">
        <v>1625</v>
      </c>
      <c r="U198" s="74" t="s">
        <v>1626</v>
      </c>
      <c r="V198" s="74" t="s">
        <v>1627</v>
      </c>
      <c r="W198" s="74" t="s">
        <v>1628</v>
      </c>
    </row>
    <row r="199">
      <c r="A199" s="11" t="s">
        <v>428</v>
      </c>
      <c r="B199" s="11" t="s">
        <v>1735</v>
      </c>
      <c r="C199" s="11" t="s">
        <v>1736</v>
      </c>
      <c r="D199" s="11" t="s">
        <v>1665</v>
      </c>
      <c r="E199" s="11">
        <v>25.0</v>
      </c>
      <c r="F199" s="11" t="s">
        <v>1631</v>
      </c>
      <c r="G199" s="11">
        <v>5.0</v>
      </c>
      <c r="H199" s="11" t="s">
        <v>1671</v>
      </c>
      <c r="I199" s="11">
        <v>3.0</v>
      </c>
    </row>
    <row r="200">
      <c r="A200" s="11" t="s">
        <v>428</v>
      </c>
      <c r="B200" s="11" t="s">
        <v>1735</v>
      </c>
      <c r="C200" s="11" t="s">
        <v>1737</v>
      </c>
      <c r="D200" s="11" t="s">
        <v>1665</v>
      </c>
      <c r="E200" s="11">
        <v>25.0</v>
      </c>
      <c r="F200" s="11" t="s">
        <v>1631</v>
      </c>
      <c r="G200" s="11">
        <v>5.0</v>
      </c>
      <c r="H200" s="11" t="s">
        <v>1671</v>
      </c>
      <c r="I200" s="11">
        <v>3.0</v>
      </c>
    </row>
    <row r="201">
      <c r="A201" s="11" t="s">
        <v>428</v>
      </c>
      <c r="B201" s="11" t="s">
        <v>1735</v>
      </c>
      <c r="C201" s="11" t="s">
        <v>1738</v>
      </c>
      <c r="D201" s="11" t="s">
        <v>1665</v>
      </c>
      <c r="E201" s="11">
        <v>25.0</v>
      </c>
      <c r="F201" s="11" t="s">
        <v>1631</v>
      </c>
      <c r="G201" s="11">
        <v>5.0</v>
      </c>
      <c r="H201" s="11" t="s">
        <v>1671</v>
      </c>
      <c r="I201" s="11">
        <v>3.0</v>
      </c>
    </row>
    <row r="202">
      <c r="A202" s="11" t="s">
        <v>445</v>
      </c>
      <c r="B202" s="11" t="s">
        <v>197</v>
      </c>
      <c r="C202" s="11" t="s">
        <v>1739</v>
      </c>
      <c r="D202" s="11" t="s">
        <v>1665</v>
      </c>
      <c r="E202" s="11">
        <v>3.0</v>
      </c>
    </row>
    <row r="203">
      <c r="A203" s="11" t="s">
        <v>445</v>
      </c>
      <c r="B203" s="11" t="s">
        <v>197</v>
      </c>
      <c r="C203" s="11" t="s">
        <v>1736</v>
      </c>
      <c r="D203" s="11" t="s">
        <v>1665</v>
      </c>
      <c r="E203" s="11">
        <v>3.0</v>
      </c>
    </row>
    <row r="204">
      <c r="A204" s="11" t="s">
        <v>445</v>
      </c>
      <c r="B204" s="11" t="s">
        <v>197</v>
      </c>
      <c r="C204" s="11" t="s">
        <v>1737</v>
      </c>
      <c r="D204" s="11" t="s">
        <v>1665</v>
      </c>
      <c r="E204" s="11">
        <v>3.0</v>
      </c>
    </row>
    <row r="205">
      <c r="A205" s="11" t="s">
        <v>463</v>
      </c>
      <c r="B205" s="11" t="s">
        <v>1735</v>
      </c>
      <c r="C205" s="11" t="s">
        <v>1736</v>
      </c>
      <c r="D205" s="11" t="s">
        <v>1665</v>
      </c>
      <c r="E205" s="11">
        <v>12.0</v>
      </c>
      <c r="F205" s="11" t="s">
        <v>1705</v>
      </c>
      <c r="G205" s="11">
        <v>2.0</v>
      </c>
      <c r="H205" s="11" t="s">
        <v>1671</v>
      </c>
      <c r="I205" s="11">
        <v>5.0</v>
      </c>
    </row>
    <row r="206">
      <c r="A206" s="11" t="s">
        <v>463</v>
      </c>
      <c r="B206" s="11" t="s">
        <v>1735</v>
      </c>
      <c r="C206" s="11" t="s">
        <v>1737</v>
      </c>
      <c r="D206" s="11" t="s">
        <v>1665</v>
      </c>
      <c r="E206" s="11">
        <v>12.0</v>
      </c>
      <c r="F206" s="11" t="s">
        <v>1705</v>
      </c>
      <c r="G206" s="11">
        <v>2.0</v>
      </c>
      <c r="H206" s="11" t="s">
        <v>1671</v>
      </c>
      <c r="I206" s="11">
        <v>5.0</v>
      </c>
    </row>
    <row r="207">
      <c r="A207" s="11" t="s">
        <v>463</v>
      </c>
      <c r="B207" s="11" t="s">
        <v>1735</v>
      </c>
      <c r="C207" s="11" t="s">
        <v>1738</v>
      </c>
      <c r="D207" s="11" t="s">
        <v>1665</v>
      </c>
      <c r="E207" s="11">
        <v>12.0</v>
      </c>
      <c r="F207" s="11" t="s">
        <v>1705</v>
      </c>
      <c r="G207" s="11">
        <v>2.0</v>
      </c>
      <c r="H207" s="11" t="s">
        <v>1671</v>
      </c>
      <c r="I207" s="11">
        <v>5.0</v>
      </c>
    </row>
    <row r="208">
      <c r="A208" s="11" t="s">
        <v>479</v>
      </c>
      <c r="B208" s="11" t="s">
        <v>1735</v>
      </c>
      <c r="C208" s="11" t="s">
        <v>1740</v>
      </c>
      <c r="D208" s="11" t="s">
        <v>1665</v>
      </c>
      <c r="E208" s="11">
        <v>10.0</v>
      </c>
      <c r="F208" s="11" t="s">
        <v>1631</v>
      </c>
      <c r="G208" s="11">
        <v>5.0</v>
      </c>
      <c r="H208" s="11" t="s">
        <v>1671</v>
      </c>
      <c r="I208" s="11">
        <v>3.0</v>
      </c>
    </row>
    <row r="209">
      <c r="A209" s="11" t="s">
        <v>420</v>
      </c>
      <c r="B209" s="11" t="s">
        <v>1735</v>
      </c>
      <c r="C209" s="11" t="s">
        <v>1737</v>
      </c>
      <c r="D209" s="11" t="s">
        <v>1705</v>
      </c>
      <c r="E209" s="11">
        <v>10.0</v>
      </c>
      <c r="F209" s="11" t="s">
        <v>1690</v>
      </c>
      <c r="G209" s="11">
        <v>10.0</v>
      </c>
      <c r="H209" s="11" t="s">
        <v>1671</v>
      </c>
      <c r="I209" s="11">
        <v>10.0</v>
      </c>
      <c r="J209" s="11" t="s">
        <v>1672</v>
      </c>
      <c r="K209" s="11">
        <v>3.0</v>
      </c>
    </row>
    <row r="210">
      <c r="A210" s="11" t="s">
        <v>420</v>
      </c>
      <c r="B210" s="11" t="s">
        <v>1735</v>
      </c>
      <c r="C210" s="11" t="s">
        <v>1738</v>
      </c>
      <c r="D210" s="11" t="s">
        <v>1705</v>
      </c>
      <c r="E210" s="11">
        <v>10.0</v>
      </c>
      <c r="F210" s="11" t="s">
        <v>1690</v>
      </c>
      <c r="G210" s="11">
        <v>10.0</v>
      </c>
      <c r="H210" s="11" t="s">
        <v>1671</v>
      </c>
      <c r="I210" s="11">
        <v>10.0</v>
      </c>
      <c r="J210" s="11" t="s">
        <v>1672</v>
      </c>
      <c r="K210" s="11">
        <v>3.0</v>
      </c>
    </row>
    <row r="211">
      <c r="A211" s="11" t="s">
        <v>420</v>
      </c>
      <c r="B211" s="11" t="s">
        <v>1735</v>
      </c>
      <c r="C211" s="11" t="s">
        <v>1736</v>
      </c>
      <c r="D211" s="11" t="s">
        <v>1705</v>
      </c>
      <c r="E211" s="11">
        <v>10.0</v>
      </c>
      <c r="F211" s="11" t="s">
        <v>1690</v>
      </c>
      <c r="G211" s="11">
        <v>10.0</v>
      </c>
      <c r="H211" s="11" t="s">
        <v>1671</v>
      </c>
      <c r="I211" s="11">
        <v>10.0</v>
      </c>
      <c r="J211" s="11" t="s">
        <v>1672</v>
      </c>
      <c r="K211" s="11">
        <v>3.0</v>
      </c>
    </row>
    <row r="212">
      <c r="A212" s="11" t="s">
        <v>451</v>
      </c>
      <c r="B212" s="11" t="s">
        <v>1735</v>
      </c>
      <c r="C212" s="11" t="s">
        <v>1737</v>
      </c>
      <c r="D212" s="11" t="s">
        <v>1690</v>
      </c>
      <c r="E212" s="11">
        <v>15.0</v>
      </c>
      <c r="F212" s="11" t="s">
        <v>1671</v>
      </c>
      <c r="G212" s="11">
        <v>10.0</v>
      </c>
      <c r="H212" s="11" t="s">
        <v>1635</v>
      </c>
      <c r="I212" s="11">
        <v>12.0</v>
      </c>
      <c r="J212" s="11" t="s">
        <v>1672</v>
      </c>
      <c r="K212" s="11">
        <v>5.0</v>
      </c>
    </row>
    <row r="213">
      <c r="A213" s="11" t="s">
        <v>451</v>
      </c>
      <c r="B213" s="11" t="s">
        <v>1735</v>
      </c>
      <c r="C213" s="11" t="s">
        <v>1738</v>
      </c>
      <c r="D213" s="11" t="s">
        <v>1690</v>
      </c>
      <c r="E213" s="11">
        <v>15.0</v>
      </c>
      <c r="F213" s="11" t="s">
        <v>1671</v>
      </c>
      <c r="G213" s="11">
        <v>10.0</v>
      </c>
      <c r="H213" s="11" t="s">
        <v>1635</v>
      </c>
      <c r="I213" s="11">
        <v>12.0</v>
      </c>
      <c r="J213" s="11" t="s">
        <v>1672</v>
      </c>
      <c r="K213" s="11">
        <v>5.0</v>
      </c>
    </row>
    <row r="214">
      <c r="A214" s="11" t="s">
        <v>451</v>
      </c>
      <c r="B214" s="11" t="s">
        <v>1735</v>
      </c>
      <c r="C214" s="11" t="s">
        <v>1736</v>
      </c>
      <c r="D214" s="11" t="s">
        <v>1690</v>
      </c>
      <c r="E214" s="11">
        <v>15.0</v>
      </c>
      <c r="F214" s="11" t="s">
        <v>1671</v>
      </c>
      <c r="G214" s="11">
        <v>10.0</v>
      </c>
      <c r="H214" s="11" t="s">
        <v>1635</v>
      </c>
      <c r="I214" s="11">
        <v>12.0</v>
      </c>
      <c r="J214" s="11" t="s">
        <v>1672</v>
      </c>
      <c r="K214" s="11">
        <v>5.0</v>
      </c>
    </row>
    <row r="215">
      <c r="A215" s="11" t="s">
        <v>486</v>
      </c>
      <c r="B215" s="11" t="s">
        <v>1735</v>
      </c>
      <c r="C215" s="11" t="s">
        <v>1737</v>
      </c>
      <c r="D215" s="11" t="s">
        <v>1665</v>
      </c>
      <c r="E215" s="11">
        <v>10.0</v>
      </c>
      <c r="F215" s="11" t="s">
        <v>1681</v>
      </c>
      <c r="G215" s="11">
        <v>5.0</v>
      </c>
    </row>
    <row r="216">
      <c r="A216" s="11" t="s">
        <v>486</v>
      </c>
      <c r="B216" s="11" t="s">
        <v>1735</v>
      </c>
      <c r="C216" s="11" t="s">
        <v>1738</v>
      </c>
      <c r="D216" s="11" t="s">
        <v>1665</v>
      </c>
      <c r="E216" s="11">
        <v>10.0</v>
      </c>
      <c r="F216" s="11" t="s">
        <v>1681</v>
      </c>
      <c r="G216" s="11">
        <v>5.0</v>
      </c>
    </row>
    <row r="217">
      <c r="A217" s="11" t="s">
        <v>486</v>
      </c>
      <c r="B217" s="11" t="s">
        <v>1735</v>
      </c>
      <c r="C217" s="11" t="s">
        <v>1736</v>
      </c>
      <c r="D217" s="11" t="s">
        <v>1665</v>
      </c>
      <c r="E217" s="11">
        <v>10.0</v>
      </c>
      <c r="F217" s="11" t="s">
        <v>1681</v>
      </c>
      <c r="G217" s="11">
        <v>5.0</v>
      </c>
    </row>
    <row r="218">
      <c r="A218" s="40" t="s">
        <v>435</v>
      </c>
      <c r="B218" s="11" t="s">
        <v>1735</v>
      </c>
      <c r="C218" s="11" t="s">
        <v>1737</v>
      </c>
      <c r="D218" s="11" t="s">
        <v>1690</v>
      </c>
      <c r="E218" s="11">
        <v>15.0</v>
      </c>
      <c r="F218" s="11" t="s">
        <v>1671</v>
      </c>
      <c r="G218" s="11">
        <v>15.0</v>
      </c>
      <c r="H218" s="11" t="s">
        <v>1635</v>
      </c>
      <c r="I218" s="11">
        <v>3.0</v>
      </c>
      <c r="J218" s="11" t="s">
        <v>1672</v>
      </c>
      <c r="K218" s="11">
        <v>20.0</v>
      </c>
    </row>
    <row r="219">
      <c r="A219" s="40" t="s">
        <v>435</v>
      </c>
      <c r="B219" s="11" t="s">
        <v>1735</v>
      </c>
      <c r="C219" s="11" t="s">
        <v>1738</v>
      </c>
      <c r="D219" s="11" t="s">
        <v>1690</v>
      </c>
      <c r="E219" s="11">
        <v>15.0</v>
      </c>
      <c r="F219" s="11" t="s">
        <v>1671</v>
      </c>
      <c r="G219" s="11">
        <v>15.0</v>
      </c>
      <c r="H219" s="11" t="s">
        <v>1635</v>
      </c>
      <c r="I219" s="11">
        <v>3.0</v>
      </c>
      <c r="J219" s="11" t="s">
        <v>1672</v>
      </c>
      <c r="K219" s="11">
        <v>20.0</v>
      </c>
    </row>
    <row r="220">
      <c r="A220" s="40" t="s">
        <v>435</v>
      </c>
      <c r="B220" s="11" t="s">
        <v>1735</v>
      </c>
      <c r="C220" s="11" t="s">
        <v>1736</v>
      </c>
      <c r="D220" s="11" t="s">
        <v>1690</v>
      </c>
      <c r="E220" s="11">
        <v>15.0</v>
      </c>
      <c r="F220" s="11" t="s">
        <v>1671</v>
      </c>
      <c r="G220" s="11">
        <v>15.0</v>
      </c>
      <c r="H220" s="11" t="s">
        <v>1635</v>
      </c>
      <c r="I220" s="11">
        <v>3.0</v>
      </c>
      <c r="J220" s="11" t="s">
        <v>1672</v>
      </c>
      <c r="K220" s="11">
        <v>20.0</v>
      </c>
    </row>
    <row r="221">
      <c r="A221" s="40" t="s">
        <v>466</v>
      </c>
      <c r="B221" s="11" t="s">
        <v>1735</v>
      </c>
      <c r="C221" s="11" t="s">
        <v>1737</v>
      </c>
      <c r="D221" s="11" t="s">
        <v>1665</v>
      </c>
      <c r="E221" s="11">
        <v>5.0</v>
      </c>
      <c r="F221" s="11" t="s">
        <v>1705</v>
      </c>
      <c r="G221" s="11">
        <v>1.0</v>
      </c>
    </row>
    <row r="222">
      <c r="A222" s="40" t="s">
        <v>466</v>
      </c>
      <c r="B222" s="11" t="s">
        <v>1735</v>
      </c>
      <c r="C222" s="11" t="s">
        <v>1738</v>
      </c>
      <c r="D222" s="11" t="s">
        <v>1665</v>
      </c>
      <c r="E222" s="11">
        <v>5.0</v>
      </c>
      <c r="F222" s="11" t="s">
        <v>1705</v>
      </c>
      <c r="G222" s="11">
        <v>1.0</v>
      </c>
    </row>
    <row r="223">
      <c r="A223" s="40" t="s">
        <v>466</v>
      </c>
      <c r="B223" s="11" t="s">
        <v>1735</v>
      </c>
      <c r="C223" s="11" t="s">
        <v>1736</v>
      </c>
      <c r="D223" s="11" t="s">
        <v>1665</v>
      </c>
      <c r="E223" s="11">
        <v>5.0</v>
      </c>
      <c r="F223" s="11" t="s">
        <v>1705</v>
      </c>
      <c r="G223" s="11">
        <v>1.0</v>
      </c>
    </row>
    <row r="224">
      <c r="A224" s="40" t="s">
        <v>470</v>
      </c>
      <c r="B224" s="11" t="s">
        <v>1735</v>
      </c>
      <c r="C224" s="11" t="s">
        <v>1737</v>
      </c>
      <c r="D224" s="11" t="s">
        <v>1665</v>
      </c>
      <c r="E224" s="11">
        <v>5.0</v>
      </c>
    </row>
    <row r="225">
      <c r="A225" s="40" t="s">
        <v>470</v>
      </c>
      <c r="B225" s="11" t="s">
        <v>1735</v>
      </c>
      <c r="C225" s="11" t="s">
        <v>1738</v>
      </c>
      <c r="D225" s="11" t="s">
        <v>1665</v>
      </c>
      <c r="E225" s="11">
        <v>5.0</v>
      </c>
    </row>
    <row r="226">
      <c r="A226" s="40" t="s">
        <v>470</v>
      </c>
      <c r="B226" s="11" t="s">
        <v>1735</v>
      </c>
      <c r="C226" s="11" t="s">
        <v>1736</v>
      </c>
      <c r="D226" s="11" t="s">
        <v>1665</v>
      </c>
      <c r="E226" s="11">
        <v>5.0</v>
      </c>
    </row>
    <row r="227">
      <c r="A227" s="40" t="s">
        <v>474</v>
      </c>
      <c r="B227" s="11" t="s">
        <v>1735</v>
      </c>
      <c r="C227" s="11" t="s">
        <v>1737</v>
      </c>
      <c r="D227" s="11" t="s">
        <v>1690</v>
      </c>
      <c r="E227" s="11">
        <v>60.0</v>
      </c>
      <c r="F227" s="11" t="s">
        <v>1671</v>
      </c>
      <c r="G227" s="11">
        <v>20.0</v>
      </c>
      <c r="H227" s="11" t="s">
        <v>1635</v>
      </c>
      <c r="I227" s="11">
        <v>25.0</v>
      </c>
      <c r="J227" s="11" t="s">
        <v>1630</v>
      </c>
      <c r="K227" s="11">
        <v>20.0</v>
      </c>
      <c r="L227" s="11" t="s">
        <v>1651</v>
      </c>
      <c r="M227" s="11">
        <v>20.0</v>
      </c>
      <c r="N227" s="11" t="s">
        <v>1652</v>
      </c>
      <c r="O227" s="11">
        <v>20.0</v>
      </c>
    </row>
    <row r="228">
      <c r="A228" s="40" t="s">
        <v>474</v>
      </c>
      <c r="B228" s="11" t="s">
        <v>1735</v>
      </c>
      <c r="C228" s="11" t="s">
        <v>1738</v>
      </c>
      <c r="D228" s="11" t="s">
        <v>1690</v>
      </c>
      <c r="E228" s="11">
        <v>60.0</v>
      </c>
      <c r="F228" s="11" t="s">
        <v>1671</v>
      </c>
      <c r="G228" s="11">
        <v>20.0</v>
      </c>
      <c r="H228" s="11" t="s">
        <v>1635</v>
      </c>
      <c r="I228" s="11">
        <v>25.0</v>
      </c>
      <c r="J228" s="11" t="s">
        <v>1630</v>
      </c>
      <c r="K228" s="11">
        <v>20.0</v>
      </c>
      <c r="L228" s="11" t="s">
        <v>1651</v>
      </c>
      <c r="M228" s="11">
        <v>20.0</v>
      </c>
      <c r="N228" s="11" t="s">
        <v>1652</v>
      </c>
      <c r="O228" s="11">
        <v>20.0</v>
      </c>
    </row>
    <row r="229">
      <c r="A229" s="40" t="s">
        <v>474</v>
      </c>
      <c r="B229" s="11" t="s">
        <v>1735</v>
      </c>
      <c r="C229" s="11" t="s">
        <v>1736</v>
      </c>
      <c r="D229" s="11" t="s">
        <v>1690</v>
      </c>
      <c r="E229" s="11">
        <v>60.0</v>
      </c>
      <c r="F229" s="11" t="s">
        <v>1671</v>
      </c>
      <c r="G229" s="11">
        <v>20.0</v>
      </c>
      <c r="H229" s="11" t="s">
        <v>1635</v>
      </c>
      <c r="I229" s="11">
        <v>25.0</v>
      </c>
      <c r="J229" s="11" t="s">
        <v>1630</v>
      </c>
      <c r="K229" s="11">
        <v>20.0</v>
      </c>
      <c r="L229" s="11" t="s">
        <v>1651</v>
      </c>
      <c r="M229" s="11">
        <v>20.0</v>
      </c>
      <c r="N229" s="11" t="s">
        <v>1652</v>
      </c>
      <c r="O229" s="11">
        <v>20.0</v>
      </c>
    </row>
    <row r="230">
      <c r="A230" s="11" t="s">
        <v>483</v>
      </c>
      <c r="B230" s="11" t="s">
        <v>1735</v>
      </c>
      <c r="C230" s="11" t="s">
        <v>1741</v>
      </c>
      <c r="D230" s="11" t="s">
        <v>1690</v>
      </c>
      <c r="E230" s="11">
        <v>35.0</v>
      </c>
      <c r="F230" s="11" t="s">
        <v>1705</v>
      </c>
      <c r="G230" s="11">
        <v>8.0</v>
      </c>
      <c r="H230" s="11" t="s">
        <v>1672</v>
      </c>
      <c r="I230" s="11">
        <v>3.0</v>
      </c>
      <c r="J230" s="11" t="s">
        <v>1636</v>
      </c>
      <c r="K230" s="11">
        <v>6.0</v>
      </c>
      <c r="L230" s="11" t="s">
        <v>213</v>
      </c>
      <c r="M230" s="11">
        <v>5.0</v>
      </c>
    </row>
    <row r="232">
      <c r="A232" s="74" t="s">
        <v>1734</v>
      </c>
      <c r="B232" s="74" t="s">
        <v>689</v>
      </c>
      <c r="C232" s="74" t="s">
        <v>1608</v>
      </c>
      <c r="D232" s="74" t="s">
        <v>1609</v>
      </c>
      <c r="E232" s="74" t="s">
        <v>1610</v>
      </c>
      <c r="F232" s="74" t="s">
        <v>1611</v>
      </c>
      <c r="G232" s="74" t="s">
        <v>1612</v>
      </c>
      <c r="H232" s="74" t="s">
        <v>1613</v>
      </c>
      <c r="I232" s="74" t="s">
        <v>1614</v>
      </c>
      <c r="J232" s="74" t="s">
        <v>1615</v>
      </c>
      <c r="K232" s="74" t="s">
        <v>1616</v>
      </c>
      <c r="L232" s="74" t="s">
        <v>1617</v>
      </c>
      <c r="M232" s="74" t="s">
        <v>1618</v>
      </c>
      <c r="N232" s="74" t="s">
        <v>1619</v>
      </c>
      <c r="O232" s="74" t="s">
        <v>1620</v>
      </c>
      <c r="P232" s="74" t="s">
        <v>1621</v>
      </c>
      <c r="Q232" s="74" t="s">
        <v>1622</v>
      </c>
      <c r="R232" s="74" t="s">
        <v>1623</v>
      </c>
      <c r="S232" s="74" t="s">
        <v>1624</v>
      </c>
      <c r="T232" s="74" t="s">
        <v>1625</v>
      </c>
      <c r="U232" s="74" t="s">
        <v>1626</v>
      </c>
      <c r="V232" s="74" t="s">
        <v>1627</v>
      </c>
      <c r="W232" s="74" t="s">
        <v>1628</v>
      </c>
    </row>
    <row r="233">
      <c r="A233" s="11" t="s">
        <v>207</v>
      </c>
      <c r="B233" s="11">
        <v>1.0</v>
      </c>
      <c r="C233" s="11" t="s">
        <v>1629</v>
      </c>
      <c r="D233" s="11" t="s">
        <v>1742</v>
      </c>
      <c r="E233" s="11">
        <v>1.0</v>
      </c>
      <c r="F233" s="11" t="s">
        <v>1649</v>
      </c>
      <c r="G233" s="11">
        <v>1.0</v>
      </c>
    </row>
    <row r="234">
      <c r="A234" s="11" t="s">
        <v>207</v>
      </c>
      <c r="B234" s="11">
        <v>1.0</v>
      </c>
      <c r="C234" s="11" t="s">
        <v>1743</v>
      </c>
      <c r="D234" s="11" t="s">
        <v>1742</v>
      </c>
      <c r="E234" s="11">
        <v>1.0</v>
      </c>
      <c r="F234" s="11" t="s">
        <v>1649</v>
      </c>
      <c r="G234" s="11">
        <v>1.0</v>
      </c>
    </row>
    <row r="235">
      <c r="A235" s="11" t="s">
        <v>185</v>
      </c>
      <c r="B235" s="11">
        <v>1.0</v>
      </c>
      <c r="C235" s="11" t="s">
        <v>1744</v>
      </c>
      <c r="D235" s="11" t="s">
        <v>1657</v>
      </c>
      <c r="E235" s="11">
        <v>1.0</v>
      </c>
      <c r="F235" s="11" t="s">
        <v>1649</v>
      </c>
      <c r="G235" s="11">
        <v>1.0</v>
      </c>
    </row>
    <row r="236">
      <c r="A236" s="11" t="s">
        <v>185</v>
      </c>
      <c r="B236" s="11">
        <v>1.0</v>
      </c>
      <c r="C236" s="11" t="s">
        <v>1743</v>
      </c>
      <c r="D236" s="11" t="s">
        <v>1657</v>
      </c>
      <c r="E236" s="11">
        <v>1.0</v>
      </c>
      <c r="F236" s="11" t="s">
        <v>1649</v>
      </c>
      <c r="G236" s="11">
        <v>1.0</v>
      </c>
    </row>
    <row r="237">
      <c r="A237" s="11" t="s">
        <v>193</v>
      </c>
      <c r="B237" s="11">
        <v>1.0</v>
      </c>
      <c r="C237" s="11" t="s">
        <v>1658</v>
      </c>
      <c r="D237" s="11" t="s">
        <v>1656</v>
      </c>
      <c r="E237" s="11">
        <v>2.0</v>
      </c>
      <c r="F237" s="11" t="s">
        <v>1640</v>
      </c>
      <c r="G237" s="11">
        <v>1.0</v>
      </c>
    </row>
    <row r="238">
      <c r="A238" s="11" t="s">
        <v>1661</v>
      </c>
      <c r="B238" s="11">
        <v>1.0</v>
      </c>
      <c r="C238" s="11" t="s">
        <v>1629</v>
      </c>
      <c r="D238" s="11" t="s">
        <v>1654</v>
      </c>
      <c r="E238" s="11">
        <v>1.0</v>
      </c>
      <c r="F238" s="11" t="s">
        <v>1649</v>
      </c>
      <c r="G238" s="11">
        <v>1.0</v>
      </c>
      <c r="H238" s="11" t="s">
        <v>1652</v>
      </c>
      <c r="I238" s="11">
        <v>1.0</v>
      </c>
    </row>
    <row r="239">
      <c r="A239" s="11" t="s">
        <v>199</v>
      </c>
      <c r="B239" s="11">
        <v>1.0</v>
      </c>
      <c r="C239" s="11" t="s">
        <v>1629</v>
      </c>
      <c r="D239" s="11" t="s">
        <v>1654</v>
      </c>
      <c r="E239" s="11">
        <v>1.0</v>
      </c>
      <c r="F239" s="11" t="s">
        <v>1649</v>
      </c>
      <c r="G239" s="11">
        <v>1.0</v>
      </c>
      <c r="H239" s="11" t="s">
        <v>1631</v>
      </c>
      <c r="I239" s="11">
        <v>2.0</v>
      </c>
    </row>
    <row r="240">
      <c r="A240" s="11" t="s">
        <v>199</v>
      </c>
      <c r="B240" s="11">
        <v>1.0</v>
      </c>
      <c r="C240" s="11" t="s">
        <v>1743</v>
      </c>
      <c r="D240" s="11" t="s">
        <v>1654</v>
      </c>
      <c r="E240" s="11">
        <v>1.0</v>
      </c>
      <c r="F240" s="11" t="s">
        <v>1649</v>
      </c>
      <c r="G240" s="11">
        <v>1.0</v>
      </c>
      <c r="H240" s="11" t="s">
        <v>1631</v>
      </c>
      <c r="I240" s="11">
        <v>2.0</v>
      </c>
    </row>
    <row r="241">
      <c r="A241" s="11" t="s">
        <v>183</v>
      </c>
      <c r="B241" s="11">
        <v>1.0</v>
      </c>
      <c r="C241" s="11" t="s">
        <v>1744</v>
      </c>
      <c r="D241" s="11" t="s">
        <v>1728</v>
      </c>
      <c r="E241" s="11">
        <v>1.0</v>
      </c>
      <c r="F241" s="11" t="s">
        <v>1649</v>
      </c>
      <c r="G241" s="11">
        <v>1.0</v>
      </c>
      <c r="H241" s="11" t="s">
        <v>1631</v>
      </c>
      <c r="I241" s="11">
        <v>1.0</v>
      </c>
    </row>
    <row r="242">
      <c r="A242" s="11" t="s">
        <v>183</v>
      </c>
      <c r="B242" s="11">
        <v>1.0</v>
      </c>
      <c r="C242" s="11" t="s">
        <v>1743</v>
      </c>
      <c r="D242" s="11" t="s">
        <v>1728</v>
      </c>
      <c r="E242" s="11">
        <v>1.0</v>
      </c>
      <c r="F242" s="11" t="s">
        <v>1649</v>
      </c>
      <c r="G242" s="11">
        <v>1.0</v>
      </c>
      <c r="H242" s="11" t="s">
        <v>1631</v>
      </c>
      <c r="I242" s="11">
        <v>1.0</v>
      </c>
    </row>
    <row r="243">
      <c r="A243" s="11" t="s">
        <v>215</v>
      </c>
      <c r="B243" s="11">
        <v>1.0</v>
      </c>
      <c r="C243" s="11" t="s">
        <v>1658</v>
      </c>
      <c r="D243" s="11" t="s">
        <v>1656</v>
      </c>
      <c r="E243" s="11">
        <v>3.0</v>
      </c>
      <c r="F243" s="11" t="s">
        <v>1704</v>
      </c>
      <c r="G243" s="11">
        <v>2.0</v>
      </c>
    </row>
    <row r="244">
      <c r="A244" s="11" t="s">
        <v>209</v>
      </c>
      <c r="B244" s="11">
        <v>1.0</v>
      </c>
      <c r="C244" s="11" t="s">
        <v>1629</v>
      </c>
      <c r="D244" s="11" t="s">
        <v>1654</v>
      </c>
      <c r="E244" s="11">
        <v>1.0</v>
      </c>
      <c r="F244" s="11" t="s">
        <v>1649</v>
      </c>
      <c r="G244" s="11">
        <v>1.0</v>
      </c>
      <c r="H244" s="11" t="s">
        <v>1631</v>
      </c>
      <c r="I244" s="11">
        <v>5.0</v>
      </c>
    </row>
    <row r="245">
      <c r="A245" s="11" t="s">
        <v>209</v>
      </c>
      <c r="B245" s="11">
        <v>1.0</v>
      </c>
      <c r="C245" s="11" t="s">
        <v>1743</v>
      </c>
      <c r="D245" s="11" t="s">
        <v>1654</v>
      </c>
      <c r="E245" s="11">
        <v>1.0</v>
      </c>
      <c r="F245" s="11" t="s">
        <v>1649</v>
      </c>
      <c r="G245" s="11">
        <v>1.0</v>
      </c>
      <c r="H245" s="11" t="s">
        <v>1631</v>
      </c>
      <c r="I245" s="11">
        <v>5.0</v>
      </c>
    </row>
    <row r="246">
      <c r="A246" s="11" t="s">
        <v>187</v>
      </c>
      <c r="B246" s="11">
        <v>1.0</v>
      </c>
      <c r="C246" s="11" t="s">
        <v>1744</v>
      </c>
      <c r="D246" s="11" t="s">
        <v>1728</v>
      </c>
      <c r="E246" s="11">
        <v>1.0</v>
      </c>
      <c r="F246" s="11" t="s">
        <v>1649</v>
      </c>
      <c r="G246" s="11">
        <v>1.0</v>
      </c>
      <c r="H246" s="11" t="s">
        <v>1631</v>
      </c>
      <c r="I246" s="11">
        <v>2.0</v>
      </c>
    </row>
    <row r="247">
      <c r="A247" s="11" t="s">
        <v>187</v>
      </c>
      <c r="B247" s="11">
        <v>1.0</v>
      </c>
      <c r="C247" s="11" t="s">
        <v>1743</v>
      </c>
      <c r="D247" s="11" t="s">
        <v>1728</v>
      </c>
      <c r="E247" s="11">
        <v>1.0</v>
      </c>
      <c r="F247" s="11" t="s">
        <v>1649</v>
      </c>
      <c r="G247" s="11">
        <v>1.0</v>
      </c>
      <c r="H247" s="11" t="s">
        <v>1631</v>
      </c>
      <c r="I247" s="11">
        <v>2.0</v>
      </c>
    </row>
    <row r="248">
      <c r="A248" s="11" t="s">
        <v>195</v>
      </c>
      <c r="B248" s="11">
        <v>1.0</v>
      </c>
      <c r="C248" s="11" t="s">
        <v>1658</v>
      </c>
      <c r="D248" s="11" t="s">
        <v>1656</v>
      </c>
      <c r="E248" s="11">
        <v>3.0</v>
      </c>
      <c r="F248" s="11" t="s">
        <v>1640</v>
      </c>
      <c r="G248" s="11">
        <v>2.0</v>
      </c>
    </row>
    <row r="249">
      <c r="A249" s="11" t="s">
        <v>203</v>
      </c>
      <c r="B249" s="11">
        <v>1.0</v>
      </c>
      <c r="C249" s="11" t="s">
        <v>1629</v>
      </c>
      <c r="D249" s="11" t="s">
        <v>1742</v>
      </c>
      <c r="E249" s="11">
        <v>1.0</v>
      </c>
      <c r="F249" s="11" t="s">
        <v>1649</v>
      </c>
      <c r="G249" s="11">
        <v>1.0</v>
      </c>
    </row>
    <row r="250">
      <c r="A250" s="11" t="s">
        <v>203</v>
      </c>
      <c r="B250" s="11">
        <v>1.0</v>
      </c>
      <c r="C250" s="11" t="s">
        <v>1743</v>
      </c>
      <c r="D250" s="11" t="s">
        <v>1742</v>
      </c>
      <c r="E250" s="11">
        <v>1.0</v>
      </c>
      <c r="F250" s="11" t="s">
        <v>1649</v>
      </c>
      <c r="G250" s="11">
        <v>1.0</v>
      </c>
    </row>
    <row r="251">
      <c r="A251" s="40" t="s">
        <v>191</v>
      </c>
      <c r="B251" s="11">
        <v>1.0</v>
      </c>
      <c r="C251" s="11" t="s">
        <v>1658</v>
      </c>
      <c r="D251" s="11" t="s">
        <v>1665</v>
      </c>
      <c r="E251" s="11">
        <v>2.0</v>
      </c>
      <c r="F251" s="11" t="s">
        <v>1640</v>
      </c>
      <c r="G251" s="11">
        <v>2.0</v>
      </c>
    </row>
    <row r="252">
      <c r="A252" s="11" t="s">
        <v>211</v>
      </c>
      <c r="B252" s="11">
        <v>1.0</v>
      </c>
      <c r="C252" s="11" t="s">
        <v>1629</v>
      </c>
      <c r="D252" s="11" t="s">
        <v>1742</v>
      </c>
      <c r="E252" s="11">
        <v>1.0</v>
      </c>
      <c r="F252" s="11" t="s">
        <v>1649</v>
      </c>
      <c r="G252" s="11">
        <v>1.0</v>
      </c>
    </row>
    <row r="253">
      <c r="A253" s="11" t="s">
        <v>205</v>
      </c>
      <c r="B253" s="11">
        <v>1.0</v>
      </c>
      <c r="C253" s="11" t="s">
        <v>1629</v>
      </c>
      <c r="D253" s="11" t="s">
        <v>1742</v>
      </c>
      <c r="E253" s="11">
        <v>1.0</v>
      </c>
      <c r="F253" s="11" t="s">
        <v>1649</v>
      </c>
      <c r="G253" s="11">
        <v>1.0</v>
      </c>
    </row>
    <row r="254">
      <c r="A254" s="11" t="s">
        <v>181</v>
      </c>
      <c r="B254" s="11">
        <v>3.0</v>
      </c>
      <c r="C254" s="11" t="s">
        <v>1629</v>
      </c>
      <c r="D254" s="11" t="s">
        <v>1665</v>
      </c>
      <c r="E254" s="11">
        <v>3.0</v>
      </c>
      <c r="F254" s="11" t="s">
        <v>1630</v>
      </c>
      <c r="G254" s="11">
        <v>1.0</v>
      </c>
    </row>
    <row r="255">
      <c r="A255" s="11" t="s">
        <v>189</v>
      </c>
      <c r="B255" s="11">
        <v>1.0</v>
      </c>
      <c r="C255" s="11" t="s">
        <v>1629</v>
      </c>
      <c r="D255" s="11" t="s">
        <v>1656</v>
      </c>
      <c r="E255" s="11">
        <v>3.0</v>
      </c>
      <c r="F255" s="11" t="s">
        <v>1631</v>
      </c>
      <c r="G255" s="11">
        <v>2.0</v>
      </c>
      <c r="H255" s="11" t="s">
        <v>1671</v>
      </c>
      <c r="I255" s="11">
        <v>1.0</v>
      </c>
    </row>
    <row r="256">
      <c r="A256" s="11" t="s">
        <v>213</v>
      </c>
      <c r="B256" s="11">
        <v>1.0</v>
      </c>
      <c r="C256" s="11" t="s">
        <v>1743</v>
      </c>
      <c r="D256" s="11" t="s">
        <v>1631</v>
      </c>
      <c r="E256" s="11">
        <v>5.0</v>
      </c>
      <c r="F256" s="11" t="s">
        <v>1671</v>
      </c>
      <c r="G256" s="11">
        <v>1.0</v>
      </c>
    </row>
    <row r="258">
      <c r="A258" s="74" t="s">
        <v>1608</v>
      </c>
      <c r="B258" s="74" t="s">
        <v>1745</v>
      </c>
      <c r="C258" s="74" t="s">
        <v>1746</v>
      </c>
      <c r="D258" s="74" t="s">
        <v>412</v>
      </c>
      <c r="E258" s="74" t="s">
        <v>418</v>
      </c>
      <c r="F258" s="74" t="s">
        <v>1609</v>
      </c>
      <c r="G258" s="74" t="s">
        <v>1610</v>
      </c>
      <c r="H258" s="74" t="s">
        <v>1611</v>
      </c>
      <c r="I258" s="74" t="s">
        <v>1612</v>
      </c>
      <c r="J258" s="74" t="s">
        <v>1613</v>
      </c>
      <c r="K258" s="74" t="s">
        <v>1614</v>
      </c>
      <c r="L258" s="74" t="s">
        <v>1615</v>
      </c>
      <c r="M258" s="74" t="s">
        <v>1616</v>
      </c>
      <c r="N258" s="74" t="s">
        <v>1617</v>
      </c>
      <c r="O258" s="74" t="s">
        <v>1618</v>
      </c>
      <c r="P258" s="74" t="s">
        <v>1619</v>
      </c>
      <c r="Q258" s="74" t="s">
        <v>1620</v>
      </c>
      <c r="R258" s="74" t="s">
        <v>1621</v>
      </c>
      <c r="S258" s="74" t="s">
        <v>1622</v>
      </c>
      <c r="T258" s="74" t="s">
        <v>1623</v>
      </c>
      <c r="U258" s="74" t="s">
        <v>1624</v>
      </c>
      <c r="V258" s="74" t="s">
        <v>1625</v>
      </c>
      <c r="W258" s="74" t="s">
        <v>1626</v>
      </c>
      <c r="X258" s="74" t="s">
        <v>1627</v>
      </c>
      <c r="Y258" s="74" t="s">
        <v>1628</v>
      </c>
    </row>
    <row r="259">
      <c r="A259" s="11" t="s">
        <v>500</v>
      </c>
      <c r="B259" s="11" t="s">
        <v>1747</v>
      </c>
      <c r="C259" s="11" t="s">
        <v>1748</v>
      </c>
      <c r="D259" s="11">
        <v>100.0</v>
      </c>
      <c r="E259" s="55" t="s">
        <v>1749</v>
      </c>
      <c r="F259" s="11" t="s">
        <v>1665</v>
      </c>
      <c r="G259" s="11">
        <v>4.0</v>
      </c>
      <c r="H259" s="11" t="s">
        <v>1631</v>
      </c>
      <c r="I259" s="11">
        <v>3.0</v>
      </c>
      <c r="J259" s="11" t="s">
        <v>1704</v>
      </c>
      <c r="K259" s="11">
        <v>3.0</v>
      </c>
    </row>
    <row r="260">
      <c r="A260" s="11" t="s">
        <v>518</v>
      </c>
      <c r="B260" s="11" t="s">
        <v>197</v>
      </c>
      <c r="C260" s="11" t="s">
        <v>1750</v>
      </c>
      <c r="E260" s="11" t="s">
        <v>1751</v>
      </c>
      <c r="F260" s="11" t="s">
        <v>1703</v>
      </c>
      <c r="G260" s="11">
        <v>1.0</v>
      </c>
    </row>
    <row r="261">
      <c r="A261" s="11" t="s">
        <v>1752</v>
      </c>
      <c r="B261" s="11" t="s">
        <v>1747</v>
      </c>
      <c r="C261" s="11" t="s">
        <v>1750</v>
      </c>
      <c r="E261" s="11" t="s">
        <v>1753</v>
      </c>
      <c r="F261" s="11" t="s">
        <v>1674</v>
      </c>
      <c r="G261" s="11">
        <v>1.0</v>
      </c>
      <c r="H261" s="11" t="s">
        <v>1703</v>
      </c>
      <c r="I261" s="11">
        <v>2.0</v>
      </c>
    </row>
    <row r="262">
      <c r="A262" s="11" t="s">
        <v>598</v>
      </c>
      <c r="B262" s="11" t="s">
        <v>1747</v>
      </c>
      <c r="C262" s="11" t="s">
        <v>1754</v>
      </c>
      <c r="D262" s="11">
        <v>80.0</v>
      </c>
      <c r="E262" s="11" t="s">
        <v>1755</v>
      </c>
      <c r="F262" s="11" t="s">
        <v>1665</v>
      </c>
      <c r="G262" s="11">
        <v>10.0</v>
      </c>
      <c r="H262" s="11" t="s">
        <v>1704</v>
      </c>
      <c r="I262" s="11">
        <v>5.0</v>
      </c>
    </row>
    <row r="263">
      <c r="A263" s="11" t="s">
        <v>604</v>
      </c>
      <c r="B263" s="11" t="s">
        <v>197</v>
      </c>
      <c r="C263" s="11" t="s">
        <v>1750</v>
      </c>
      <c r="E263" s="11" t="s">
        <v>1756</v>
      </c>
      <c r="F263" s="11" t="s">
        <v>1656</v>
      </c>
      <c r="G263" s="11">
        <v>4.0</v>
      </c>
      <c r="H263" s="11" t="s">
        <v>1631</v>
      </c>
      <c r="I263" s="11">
        <v>2.0</v>
      </c>
    </row>
    <row r="264">
      <c r="A264" s="11" t="s">
        <v>612</v>
      </c>
      <c r="B264" s="11" t="s">
        <v>197</v>
      </c>
      <c r="C264" s="11" t="s">
        <v>1750</v>
      </c>
      <c r="D264" s="11">
        <v>20.0</v>
      </c>
      <c r="E264" s="11" t="s">
        <v>1757</v>
      </c>
      <c r="F264" s="11" t="s">
        <v>1656</v>
      </c>
      <c r="G264" s="11">
        <v>2.0</v>
      </c>
      <c r="H264" s="11" t="s">
        <v>1631</v>
      </c>
      <c r="I264" s="11">
        <v>1.0</v>
      </c>
    </row>
    <row r="265">
      <c r="A265" s="11" t="s">
        <v>618</v>
      </c>
      <c r="B265" s="11" t="s">
        <v>197</v>
      </c>
      <c r="C265" s="11" t="s">
        <v>1750</v>
      </c>
      <c r="D265" s="11">
        <v>30.0</v>
      </c>
      <c r="E265" s="11" t="s">
        <v>1758</v>
      </c>
      <c r="F265" s="11" t="s">
        <v>1656</v>
      </c>
      <c r="G265" s="11">
        <v>5.0</v>
      </c>
    </row>
    <row r="266">
      <c r="A266" s="11" t="s">
        <v>622</v>
      </c>
      <c r="B266" s="11" t="s">
        <v>1747</v>
      </c>
      <c r="C266" s="11" t="s">
        <v>1759</v>
      </c>
      <c r="D266" s="11">
        <v>1080.0</v>
      </c>
      <c r="E266" s="11" t="s">
        <v>1760</v>
      </c>
      <c r="F266" s="11" t="s">
        <v>1674</v>
      </c>
      <c r="G266" s="11">
        <v>450.0</v>
      </c>
      <c r="H266" s="11" t="s">
        <v>1705</v>
      </c>
      <c r="I266" s="11">
        <v>150.0</v>
      </c>
      <c r="J266" s="11" t="s">
        <v>1690</v>
      </c>
      <c r="K266" s="11">
        <v>450.0</v>
      </c>
      <c r="L266" s="11" t="s">
        <v>1639</v>
      </c>
      <c r="M266" s="11">
        <v>150.0</v>
      </c>
      <c r="N266" s="11" t="s">
        <v>1663</v>
      </c>
      <c r="O266" s="11">
        <v>75.0</v>
      </c>
      <c r="P266" s="11" t="s">
        <v>1675</v>
      </c>
      <c r="Q266" s="11">
        <v>150.0</v>
      </c>
      <c r="R266" s="11" t="s">
        <v>1672</v>
      </c>
      <c r="S266" s="11">
        <v>75.0</v>
      </c>
      <c r="T266" s="11" t="s">
        <v>1630</v>
      </c>
      <c r="U266" s="11">
        <v>150.0</v>
      </c>
      <c r="V266" s="11" t="s">
        <v>1651</v>
      </c>
      <c r="W266" s="11">
        <v>150.0</v>
      </c>
      <c r="X266" s="11" t="s">
        <v>1652</v>
      </c>
      <c r="Y266" s="11">
        <v>100.0</v>
      </c>
    </row>
    <row r="267">
      <c r="A267" s="11" t="s">
        <v>624</v>
      </c>
      <c r="B267" s="11" t="s">
        <v>197</v>
      </c>
      <c r="C267" s="11" t="s">
        <v>1761</v>
      </c>
      <c r="D267" s="11">
        <v>25.0</v>
      </c>
      <c r="E267" s="55" t="s">
        <v>1762</v>
      </c>
      <c r="F267" s="11" t="s">
        <v>1656</v>
      </c>
      <c r="G267" s="11">
        <v>2.0</v>
      </c>
    </row>
    <row r="268">
      <c r="A268" s="11" t="s">
        <v>1763</v>
      </c>
      <c r="B268" s="11" t="s">
        <v>197</v>
      </c>
      <c r="C268" s="11" t="s">
        <v>1739</v>
      </c>
      <c r="D268" s="11">
        <v>300.0</v>
      </c>
      <c r="E268" s="11" t="s">
        <v>1764</v>
      </c>
      <c r="F268" s="11" t="s">
        <v>1665</v>
      </c>
      <c r="G268" s="11">
        <v>6.0</v>
      </c>
    </row>
    <row r="269">
      <c r="A269" s="11" t="s">
        <v>1765</v>
      </c>
      <c r="B269" s="11" t="s">
        <v>197</v>
      </c>
      <c r="C269" s="11" t="s">
        <v>1739</v>
      </c>
      <c r="D269" s="11">
        <v>150.0</v>
      </c>
      <c r="E269" s="11" t="s">
        <v>1766</v>
      </c>
      <c r="F269" s="11" t="s">
        <v>1665</v>
      </c>
      <c r="G269" s="11">
        <v>6.0</v>
      </c>
    </row>
    <row r="270">
      <c r="A270" s="11" t="s">
        <v>1767</v>
      </c>
      <c r="B270" s="11" t="s">
        <v>1747</v>
      </c>
      <c r="C270" s="11" t="s">
        <v>1739</v>
      </c>
      <c r="D270" s="11">
        <v>300.0</v>
      </c>
      <c r="E270" s="11" t="s">
        <v>1768</v>
      </c>
      <c r="F270" s="11" t="s">
        <v>1665</v>
      </c>
      <c r="G270" s="11">
        <v>5.0</v>
      </c>
    </row>
    <row r="271">
      <c r="A271" s="11" t="s">
        <v>1769</v>
      </c>
      <c r="B271" s="11" t="s">
        <v>197</v>
      </c>
      <c r="C271" s="11" t="s">
        <v>1739</v>
      </c>
      <c r="D271" s="11">
        <v>125.0</v>
      </c>
      <c r="E271" s="11" t="s">
        <v>1768</v>
      </c>
      <c r="F271" s="11" t="s">
        <v>1665</v>
      </c>
      <c r="G271" s="11">
        <v>6.0</v>
      </c>
      <c r="H271" s="11" t="s">
        <v>1674</v>
      </c>
      <c r="I271" s="11">
        <v>2.0</v>
      </c>
      <c r="J271" s="11" t="s">
        <v>1681</v>
      </c>
      <c r="K271" s="11">
        <v>2.0</v>
      </c>
    </row>
    <row r="272">
      <c r="A272" s="11" t="s">
        <v>1770</v>
      </c>
      <c r="B272" s="11" t="s">
        <v>1747</v>
      </c>
      <c r="C272" s="11" t="s">
        <v>1739</v>
      </c>
      <c r="D272" s="11">
        <v>250.0</v>
      </c>
      <c r="E272" s="11" t="s">
        <v>1768</v>
      </c>
      <c r="F272" s="11" t="s">
        <v>1665</v>
      </c>
      <c r="G272" s="11">
        <v>6.0</v>
      </c>
      <c r="H272" s="11" t="s">
        <v>1674</v>
      </c>
      <c r="I272" s="11">
        <v>3.0</v>
      </c>
      <c r="J272" s="11" t="s">
        <v>1675</v>
      </c>
      <c r="K272" s="11">
        <v>2.0</v>
      </c>
    </row>
    <row r="273">
      <c r="A273" s="11" t="s">
        <v>1771</v>
      </c>
      <c r="B273" s="11" t="s">
        <v>197</v>
      </c>
      <c r="C273" s="11" t="s">
        <v>1739</v>
      </c>
      <c r="D273" s="11">
        <v>125.0</v>
      </c>
      <c r="E273" s="11" t="s">
        <v>1772</v>
      </c>
      <c r="F273" s="11" t="s">
        <v>1665</v>
      </c>
      <c r="G273" s="11">
        <v>4.0</v>
      </c>
      <c r="H273" s="11" t="s">
        <v>1674</v>
      </c>
      <c r="I273" s="11">
        <v>2.0</v>
      </c>
    </row>
    <row r="274">
      <c r="A274" s="11" t="s">
        <v>1773</v>
      </c>
      <c r="B274" s="11" t="s">
        <v>1747</v>
      </c>
      <c r="C274" s="11" t="s">
        <v>1739</v>
      </c>
      <c r="D274" s="11">
        <v>250.0</v>
      </c>
      <c r="E274" s="11" t="s">
        <v>1772</v>
      </c>
      <c r="F274" s="11" t="s">
        <v>1665</v>
      </c>
      <c r="G274" s="11">
        <v>3.0</v>
      </c>
      <c r="H274" s="11" t="s">
        <v>1674</v>
      </c>
      <c r="I274" s="11">
        <v>3.0</v>
      </c>
      <c r="J274" s="11" t="s">
        <v>1675</v>
      </c>
      <c r="K274" s="11">
        <v>2.0</v>
      </c>
    </row>
    <row r="275">
      <c r="A275" s="11" t="s">
        <v>1774</v>
      </c>
      <c r="B275" s="11" t="s">
        <v>197</v>
      </c>
      <c r="C275" s="11" t="s">
        <v>1739</v>
      </c>
      <c r="D275" s="11">
        <v>125.0</v>
      </c>
      <c r="E275" s="11" t="s">
        <v>1775</v>
      </c>
      <c r="F275" s="11" t="s">
        <v>1665</v>
      </c>
      <c r="G275" s="11">
        <v>4.0</v>
      </c>
      <c r="H275" s="11" t="s">
        <v>1674</v>
      </c>
      <c r="I275" s="11">
        <v>2.0</v>
      </c>
    </row>
    <row r="276">
      <c r="A276" s="11" t="s">
        <v>1776</v>
      </c>
      <c r="B276" s="11" t="s">
        <v>1747</v>
      </c>
      <c r="C276" s="11" t="s">
        <v>1739</v>
      </c>
      <c r="D276" s="11">
        <v>250.0</v>
      </c>
      <c r="E276" s="11" t="s">
        <v>1775</v>
      </c>
      <c r="F276" s="11" t="s">
        <v>1665</v>
      </c>
      <c r="G276" s="11">
        <v>3.0</v>
      </c>
      <c r="H276" s="11" t="s">
        <v>1674</v>
      </c>
      <c r="I276" s="11">
        <v>3.0</v>
      </c>
      <c r="J276" s="11" t="s">
        <v>1675</v>
      </c>
      <c r="K276" s="11">
        <v>2.0</v>
      </c>
    </row>
    <row r="277">
      <c r="A277" s="11" t="s">
        <v>1777</v>
      </c>
      <c r="B277" s="11" t="s">
        <v>197</v>
      </c>
      <c r="C277" s="11" t="s">
        <v>1739</v>
      </c>
      <c r="D277" s="11">
        <v>125.0</v>
      </c>
      <c r="E277" s="11" t="s">
        <v>1778</v>
      </c>
      <c r="F277" s="11" t="s">
        <v>1665</v>
      </c>
      <c r="G277" s="11">
        <v>4.0</v>
      </c>
      <c r="H277" s="11" t="s">
        <v>1674</v>
      </c>
      <c r="I277" s="11">
        <v>2.0</v>
      </c>
    </row>
    <row r="278">
      <c r="A278" s="11" t="s">
        <v>1779</v>
      </c>
      <c r="B278" s="11" t="s">
        <v>1747</v>
      </c>
      <c r="C278" s="11" t="s">
        <v>1739</v>
      </c>
      <c r="D278" s="11">
        <v>250.0</v>
      </c>
      <c r="E278" s="11" t="s">
        <v>1778</v>
      </c>
      <c r="F278" s="11" t="s">
        <v>1665</v>
      </c>
      <c r="G278" s="11">
        <v>3.0</v>
      </c>
      <c r="H278" s="11" t="s">
        <v>1674</v>
      </c>
      <c r="I278" s="11">
        <v>3.0</v>
      </c>
      <c r="J278" s="11" t="s">
        <v>1675</v>
      </c>
      <c r="K278" s="11">
        <v>2.0</v>
      </c>
    </row>
    <row r="279">
      <c r="A279" s="11" t="s">
        <v>1780</v>
      </c>
      <c r="B279" s="11" t="s">
        <v>197</v>
      </c>
      <c r="C279" s="11" t="s">
        <v>1739</v>
      </c>
      <c r="D279" s="11">
        <v>125.0</v>
      </c>
      <c r="E279" s="11" t="s">
        <v>1778</v>
      </c>
      <c r="F279" s="11" t="s">
        <v>1665</v>
      </c>
      <c r="G279" s="11">
        <v>6.0</v>
      </c>
      <c r="H279" s="11" t="s">
        <v>1674</v>
      </c>
      <c r="I279" s="11">
        <v>2.0</v>
      </c>
      <c r="J279" s="11" t="s">
        <v>1781</v>
      </c>
      <c r="K279" s="11">
        <v>2.0</v>
      </c>
    </row>
    <row r="280">
      <c r="A280" s="11" t="s">
        <v>1782</v>
      </c>
      <c r="B280" s="11" t="s">
        <v>1747</v>
      </c>
      <c r="C280" s="11" t="s">
        <v>1739</v>
      </c>
      <c r="D280" s="11">
        <v>250.0</v>
      </c>
      <c r="E280" s="11" t="s">
        <v>1778</v>
      </c>
      <c r="F280" s="11" t="s">
        <v>1665</v>
      </c>
      <c r="G280" s="11">
        <v>6.0</v>
      </c>
      <c r="H280" s="11" t="s">
        <v>1674</v>
      </c>
      <c r="I280" s="11">
        <v>3.0</v>
      </c>
      <c r="J280" s="11" t="s">
        <v>1675</v>
      </c>
      <c r="K280" s="11">
        <v>2.0</v>
      </c>
    </row>
    <row r="281">
      <c r="A281" s="11" t="s">
        <v>1783</v>
      </c>
      <c r="B281" s="11" t="s">
        <v>197</v>
      </c>
      <c r="C281" s="11" t="s">
        <v>1739</v>
      </c>
      <c r="D281" s="11">
        <v>125.0</v>
      </c>
      <c r="E281" s="11" t="s">
        <v>1784</v>
      </c>
      <c r="F281" s="11" t="s">
        <v>1665</v>
      </c>
      <c r="G281" s="11">
        <v>6.0</v>
      </c>
      <c r="H281" s="11" t="s">
        <v>1674</v>
      </c>
      <c r="I281" s="11">
        <v>2.0</v>
      </c>
      <c r="J281" s="11" t="s">
        <v>1681</v>
      </c>
      <c r="K281" s="11">
        <v>2.0</v>
      </c>
    </row>
    <row r="282">
      <c r="A282" s="11" t="s">
        <v>1785</v>
      </c>
      <c r="B282" s="11" t="s">
        <v>1747</v>
      </c>
      <c r="C282" s="11" t="s">
        <v>1739</v>
      </c>
      <c r="D282" s="11">
        <v>250.0</v>
      </c>
      <c r="E282" s="11" t="s">
        <v>1786</v>
      </c>
      <c r="F282" s="11" t="s">
        <v>1665</v>
      </c>
      <c r="G282" s="11">
        <v>6.0</v>
      </c>
      <c r="H282" s="11" t="s">
        <v>1674</v>
      </c>
      <c r="I282" s="11">
        <v>3.0</v>
      </c>
      <c r="J282" s="11" t="s">
        <v>1675</v>
      </c>
      <c r="K282" s="11">
        <v>2.0</v>
      </c>
    </row>
    <row r="283">
      <c r="A283" s="11" t="s">
        <v>1787</v>
      </c>
      <c r="B283" s="11" t="s">
        <v>1747</v>
      </c>
      <c r="C283" s="11" t="s">
        <v>1739</v>
      </c>
      <c r="D283" s="11">
        <v>50.0</v>
      </c>
      <c r="E283" s="11" t="s">
        <v>1788</v>
      </c>
      <c r="F283" s="11" t="s">
        <v>1665</v>
      </c>
      <c r="G283" s="11">
        <v>3.0</v>
      </c>
      <c r="H283" s="11" t="s">
        <v>1630</v>
      </c>
      <c r="I283" s="11">
        <v>5.0</v>
      </c>
    </row>
    <row r="284">
      <c r="A284" s="11" t="s">
        <v>1789</v>
      </c>
      <c r="B284" s="11" t="s">
        <v>1747</v>
      </c>
      <c r="C284" s="11" t="s">
        <v>1739</v>
      </c>
      <c r="D284" s="11">
        <v>150.0</v>
      </c>
      <c r="E284" s="11" t="s">
        <v>1790</v>
      </c>
      <c r="F284" s="11" t="s">
        <v>1665</v>
      </c>
      <c r="G284" s="11">
        <v>6.0</v>
      </c>
      <c r="H284" s="11" t="s">
        <v>1681</v>
      </c>
      <c r="I284" s="11">
        <v>2.0</v>
      </c>
    </row>
    <row r="285">
      <c r="A285" s="11" t="s">
        <v>1791</v>
      </c>
      <c r="B285" s="11" t="s">
        <v>1747</v>
      </c>
      <c r="C285" s="11" t="s">
        <v>1739</v>
      </c>
      <c r="D285" s="11">
        <v>150.0</v>
      </c>
      <c r="E285" s="55" t="s">
        <v>1792</v>
      </c>
      <c r="F285" s="11" t="s">
        <v>1665</v>
      </c>
      <c r="G285" s="11">
        <v>6.0</v>
      </c>
      <c r="H285" s="11" t="s">
        <v>1681</v>
      </c>
      <c r="I285" s="11">
        <v>2.0</v>
      </c>
    </row>
    <row r="286">
      <c r="A286" s="11" t="s">
        <v>1793</v>
      </c>
      <c r="B286" s="11" t="s">
        <v>1747</v>
      </c>
      <c r="C286" s="11" t="s">
        <v>1739</v>
      </c>
      <c r="D286" s="11">
        <v>150.0</v>
      </c>
      <c r="E286" s="11" t="s">
        <v>1794</v>
      </c>
      <c r="F286" s="11" t="s">
        <v>1665</v>
      </c>
      <c r="G286" s="11">
        <v>6.0</v>
      </c>
      <c r="H286" s="11" t="s">
        <v>1681</v>
      </c>
      <c r="I286" s="11">
        <v>2.0</v>
      </c>
    </row>
    <row r="287">
      <c r="A287" s="11" t="s">
        <v>1795</v>
      </c>
      <c r="B287" s="11" t="s">
        <v>1747</v>
      </c>
      <c r="C287" s="11" t="s">
        <v>1739</v>
      </c>
      <c r="D287" s="11">
        <v>150.0</v>
      </c>
      <c r="E287" s="11" t="s">
        <v>1796</v>
      </c>
      <c r="F287" s="11" t="s">
        <v>1665</v>
      </c>
      <c r="G287" s="11">
        <v>6.0</v>
      </c>
      <c r="H287" s="11" t="s">
        <v>1681</v>
      </c>
      <c r="I287" s="11">
        <v>2.0</v>
      </c>
    </row>
    <row r="288">
      <c r="A288" s="11" t="s">
        <v>1797</v>
      </c>
      <c r="B288" s="11" t="s">
        <v>1747</v>
      </c>
      <c r="C288" s="11" t="s">
        <v>1739</v>
      </c>
      <c r="D288" s="11">
        <v>150.0</v>
      </c>
      <c r="E288" s="11" t="s">
        <v>1798</v>
      </c>
      <c r="F288" s="11" t="s">
        <v>1665</v>
      </c>
      <c r="G288" s="11">
        <v>4.0</v>
      </c>
      <c r="H288" s="11" t="s">
        <v>1681</v>
      </c>
      <c r="I288" s="11">
        <v>1.0</v>
      </c>
    </row>
    <row r="289">
      <c r="A289" s="11" t="s">
        <v>552</v>
      </c>
      <c r="B289" s="11" t="s">
        <v>197</v>
      </c>
      <c r="C289" s="11" t="s">
        <v>1739</v>
      </c>
      <c r="D289" s="11">
        <v>300.0</v>
      </c>
      <c r="E289" s="11" t="s">
        <v>1799</v>
      </c>
      <c r="F289" s="11" t="s">
        <v>1665</v>
      </c>
      <c r="G289" s="11">
        <v>16.0</v>
      </c>
      <c r="H289" s="11" t="s">
        <v>1674</v>
      </c>
      <c r="I289" s="11">
        <v>8.0</v>
      </c>
      <c r="J289" s="11" t="s">
        <v>1681</v>
      </c>
      <c r="K289" s="11">
        <v>4.0</v>
      </c>
    </row>
    <row r="290">
      <c r="A290" s="11" t="s">
        <v>554</v>
      </c>
      <c r="B290" s="11" t="s">
        <v>1747</v>
      </c>
      <c r="C290" s="11" t="s">
        <v>1739</v>
      </c>
      <c r="D290" s="11">
        <v>500.0</v>
      </c>
      <c r="E290" s="11" t="s">
        <v>1799</v>
      </c>
      <c r="F290" s="11" t="s">
        <v>1665</v>
      </c>
      <c r="G290" s="11">
        <v>25.0</v>
      </c>
      <c r="H290" s="11" t="s">
        <v>1671</v>
      </c>
      <c r="I290" s="11">
        <v>10.0</v>
      </c>
      <c r="J290" s="11" t="s">
        <v>1674</v>
      </c>
      <c r="K290" s="11">
        <v>10.0</v>
      </c>
      <c r="L290" s="11" t="s">
        <v>1705</v>
      </c>
      <c r="M290" s="11">
        <v>2.0</v>
      </c>
    </row>
    <row r="291">
      <c r="A291" s="11" t="s">
        <v>556</v>
      </c>
      <c r="B291" s="11" t="s">
        <v>1747</v>
      </c>
      <c r="C291" s="11" t="s">
        <v>1739</v>
      </c>
      <c r="D291" s="11">
        <v>800.0</v>
      </c>
      <c r="E291" s="11" t="s">
        <v>1799</v>
      </c>
      <c r="F291" s="11" t="s">
        <v>1665</v>
      </c>
      <c r="G291" s="11">
        <v>50.0</v>
      </c>
      <c r="H291" s="11" t="s">
        <v>1674</v>
      </c>
      <c r="I291" s="11">
        <v>20.0</v>
      </c>
      <c r="J291" s="11" t="s">
        <v>1705</v>
      </c>
      <c r="K291" s="11">
        <v>3.0</v>
      </c>
      <c r="L291" s="11" t="s">
        <v>1671</v>
      </c>
      <c r="M291" s="11">
        <v>20.0</v>
      </c>
      <c r="N291" s="11" t="s">
        <v>1675</v>
      </c>
      <c r="O291" s="11">
        <v>10.0</v>
      </c>
    </row>
    <row r="292">
      <c r="A292" s="11" t="s">
        <v>1629</v>
      </c>
      <c r="B292" s="11" t="s">
        <v>1747</v>
      </c>
      <c r="C292" s="11" t="s">
        <v>1739</v>
      </c>
      <c r="D292" s="11">
        <v>80.0</v>
      </c>
      <c r="E292" s="11" t="s">
        <v>1800</v>
      </c>
      <c r="F292" s="11" t="s">
        <v>1665</v>
      </c>
      <c r="G292" s="11">
        <v>6.0</v>
      </c>
      <c r="H292" s="11" t="s">
        <v>1671</v>
      </c>
      <c r="I292" s="11">
        <v>4.0</v>
      </c>
      <c r="J292" s="11" t="s">
        <v>1704</v>
      </c>
      <c r="K292" s="11">
        <v>10.0</v>
      </c>
      <c r="L292" s="11" t="s">
        <v>1801</v>
      </c>
      <c r="M292" s="11">
        <v>3.0</v>
      </c>
    </row>
    <row r="293">
      <c r="A293" s="11" t="s">
        <v>1802</v>
      </c>
      <c r="B293" s="11" t="s">
        <v>197</v>
      </c>
      <c r="C293" s="11" t="s">
        <v>1739</v>
      </c>
      <c r="D293" s="11">
        <v>50.0</v>
      </c>
      <c r="E293" s="11" t="s">
        <v>1803</v>
      </c>
      <c r="F293" s="11" t="s">
        <v>1656</v>
      </c>
      <c r="G293" s="11">
        <v>1.0</v>
      </c>
      <c r="H293" s="11" t="s">
        <v>1631</v>
      </c>
      <c r="I293" s="11">
        <v>2.0</v>
      </c>
    </row>
    <row r="294">
      <c r="A294" s="11" t="s">
        <v>1804</v>
      </c>
      <c r="B294" s="11" t="s">
        <v>197</v>
      </c>
      <c r="C294" s="11" t="s">
        <v>1739</v>
      </c>
      <c r="D294" s="11">
        <v>160.0</v>
      </c>
      <c r="E294" s="11" t="s">
        <v>1805</v>
      </c>
      <c r="F294" s="11" t="s">
        <v>1656</v>
      </c>
      <c r="G294" s="11">
        <v>5.0</v>
      </c>
    </row>
    <row r="295">
      <c r="A295" s="11" t="s">
        <v>1806</v>
      </c>
      <c r="B295" s="11" t="s">
        <v>1747</v>
      </c>
      <c r="C295" s="11" t="s">
        <v>1739</v>
      </c>
      <c r="D295" s="11">
        <v>360.0</v>
      </c>
      <c r="E295" s="11" t="s">
        <v>1805</v>
      </c>
      <c r="F295" s="11" t="s">
        <v>1665</v>
      </c>
      <c r="G295" s="11">
        <v>3.0</v>
      </c>
    </row>
    <row r="296">
      <c r="A296" s="11" t="s">
        <v>1807</v>
      </c>
      <c r="B296" s="11" t="s">
        <v>1747</v>
      </c>
      <c r="C296" s="11" t="s">
        <v>1739</v>
      </c>
      <c r="D296" s="11">
        <v>360.0</v>
      </c>
      <c r="E296" s="11" t="s">
        <v>1805</v>
      </c>
      <c r="F296" s="11" t="s">
        <v>1665</v>
      </c>
      <c r="G296" s="11">
        <v>3.0</v>
      </c>
      <c r="H296" s="11" t="s">
        <v>1674</v>
      </c>
      <c r="I296" s="11">
        <v>1.0</v>
      </c>
    </row>
    <row r="297">
      <c r="A297" s="11" t="s">
        <v>1744</v>
      </c>
      <c r="B297" s="11" t="s">
        <v>197</v>
      </c>
      <c r="C297" s="11" t="s">
        <v>1739</v>
      </c>
      <c r="D297" s="11">
        <v>80.0</v>
      </c>
      <c r="E297" s="11" t="s">
        <v>1808</v>
      </c>
      <c r="F297" s="11" t="s">
        <v>1656</v>
      </c>
      <c r="G297" s="11">
        <v>3.0</v>
      </c>
    </row>
    <row r="298">
      <c r="A298" s="11" t="s">
        <v>1809</v>
      </c>
      <c r="B298" s="11" t="s">
        <v>197</v>
      </c>
      <c r="C298" s="11" t="s">
        <v>1739</v>
      </c>
      <c r="D298" s="11">
        <v>150.0</v>
      </c>
      <c r="E298" s="11" t="s">
        <v>1810</v>
      </c>
      <c r="F298" s="11" t="s">
        <v>1665</v>
      </c>
      <c r="G298" s="11">
        <v>4.0</v>
      </c>
      <c r="H298" s="11" t="s">
        <v>1681</v>
      </c>
      <c r="I298" s="11">
        <v>2.0</v>
      </c>
    </row>
    <row r="299">
      <c r="A299" s="11" t="s">
        <v>1811</v>
      </c>
      <c r="B299" s="11" t="s">
        <v>197</v>
      </c>
      <c r="C299" s="11" t="s">
        <v>1739</v>
      </c>
      <c r="D299" s="11">
        <v>75.0</v>
      </c>
      <c r="E299" s="11" t="s">
        <v>1812</v>
      </c>
      <c r="F299" s="11" t="s">
        <v>1665</v>
      </c>
      <c r="G299" s="11">
        <v>4.0</v>
      </c>
      <c r="H299" s="11" t="s">
        <v>1681</v>
      </c>
      <c r="I299" s="11">
        <v>2.0</v>
      </c>
    </row>
    <row r="300">
      <c r="A300" s="11" t="s">
        <v>1811</v>
      </c>
      <c r="B300" s="11" t="s">
        <v>1747</v>
      </c>
      <c r="C300" s="11" t="s">
        <v>1739</v>
      </c>
      <c r="D300" s="11">
        <v>75.0</v>
      </c>
      <c r="E300" s="11" t="s">
        <v>1812</v>
      </c>
      <c r="F300" s="11" t="s">
        <v>1665</v>
      </c>
      <c r="G300" s="11">
        <v>6.0</v>
      </c>
    </row>
    <row r="301">
      <c r="A301" s="11" t="s">
        <v>1813</v>
      </c>
      <c r="B301" s="11" t="s">
        <v>197</v>
      </c>
      <c r="C301" s="11" t="s">
        <v>1739</v>
      </c>
      <c r="D301" s="11">
        <v>75.0</v>
      </c>
      <c r="E301" s="11" t="s">
        <v>1814</v>
      </c>
      <c r="F301" s="11" t="s">
        <v>1665</v>
      </c>
      <c r="G301" s="11">
        <v>4.0</v>
      </c>
      <c r="H301" s="11" t="s">
        <v>1681</v>
      </c>
      <c r="I301" s="11">
        <v>2.0</v>
      </c>
    </row>
    <row r="302">
      <c r="A302" s="11" t="s">
        <v>1815</v>
      </c>
      <c r="B302" s="11" t="s">
        <v>1747</v>
      </c>
      <c r="C302" s="11" t="s">
        <v>1739</v>
      </c>
      <c r="D302" s="11">
        <v>150.0</v>
      </c>
      <c r="E302" s="11" t="s">
        <v>1814</v>
      </c>
      <c r="F302" s="11" t="s">
        <v>1665</v>
      </c>
      <c r="G302" s="11">
        <v>6.0</v>
      </c>
    </row>
    <row r="303">
      <c r="A303" s="11" t="s">
        <v>1816</v>
      </c>
      <c r="B303" s="11" t="s">
        <v>197</v>
      </c>
      <c r="C303" s="11" t="s">
        <v>1739</v>
      </c>
      <c r="D303" s="11">
        <v>75.0</v>
      </c>
      <c r="E303" s="11" t="s">
        <v>1817</v>
      </c>
      <c r="F303" s="11" t="s">
        <v>1665</v>
      </c>
      <c r="G303" s="11">
        <v>4.0</v>
      </c>
      <c r="H303" s="11" t="s">
        <v>1681</v>
      </c>
      <c r="I303" s="11">
        <v>2.0</v>
      </c>
    </row>
    <row r="304">
      <c r="A304" s="11" t="s">
        <v>1818</v>
      </c>
      <c r="B304" s="11" t="s">
        <v>1747</v>
      </c>
      <c r="C304" s="11" t="s">
        <v>1739</v>
      </c>
      <c r="D304" s="11">
        <v>150.0</v>
      </c>
      <c r="E304" s="11" t="s">
        <v>1817</v>
      </c>
      <c r="F304" s="11" t="s">
        <v>1665</v>
      </c>
      <c r="G304" s="11">
        <v>6.0</v>
      </c>
    </row>
    <row r="305">
      <c r="A305" s="11" t="s">
        <v>1819</v>
      </c>
      <c r="B305" s="11" t="s">
        <v>197</v>
      </c>
      <c r="C305" s="11" t="s">
        <v>1739</v>
      </c>
      <c r="D305" s="11">
        <v>75.0</v>
      </c>
      <c r="E305" s="11" t="s">
        <v>1820</v>
      </c>
      <c r="F305" s="11" t="s">
        <v>1665</v>
      </c>
      <c r="G305" s="11">
        <v>4.0</v>
      </c>
      <c r="H305" s="11" t="s">
        <v>1681</v>
      </c>
      <c r="I305" s="11">
        <v>2.0</v>
      </c>
    </row>
    <row r="306">
      <c r="A306" s="11" t="s">
        <v>1821</v>
      </c>
      <c r="B306" s="11" t="s">
        <v>1747</v>
      </c>
      <c r="C306" s="11" t="s">
        <v>1739</v>
      </c>
      <c r="D306" s="11">
        <v>150.0</v>
      </c>
      <c r="E306" s="11" t="s">
        <v>1820</v>
      </c>
      <c r="F306" s="11" t="s">
        <v>1665</v>
      </c>
      <c r="G306" s="11">
        <v>6.0</v>
      </c>
    </row>
    <row r="307">
      <c r="A307" s="11" t="s">
        <v>1822</v>
      </c>
      <c r="B307" s="11" t="s">
        <v>197</v>
      </c>
      <c r="C307" s="11" t="s">
        <v>1739</v>
      </c>
      <c r="D307" s="11">
        <v>75.0</v>
      </c>
      <c r="E307" s="11" t="s">
        <v>1823</v>
      </c>
      <c r="F307" s="11" t="s">
        <v>1665</v>
      </c>
      <c r="G307" s="11">
        <v>4.0</v>
      </c>
      <c r="H307" s="11" t="s">
        <v>1681</v>
      </c>
      <c r="I307" s="11">
        <v>2.0</v>
      </c>
    </row>
    <row r="308">
      <c r="A308" s="11" t="s">
        <v>1824</v>
      </c>
      <c r="B308" s="11" t="s">
        <v>1747</v>
      </c>
      <c r="C308" s="11" t="s">
        <v>1739</v>
      </c>
      <c r="D308" s="11">
        <v>150.0</v>
      </c>
      <c r="E308" s="11" t="s">
        <v>1823</v>
      </c>
      <c r="F308" s="11" t="s">
        <v>1665</v>
      </c>
      <c r="G308" s="11">
        <v>6.0</v>
      </c>
    </row>
    <row r="309">
      <c r="A309" s="11" t="s">
        <v>1825</v>
      </c>
      <c r="B309" s="11" t="s">
        <v>197</v>
      </c>
      <c r="C309" s="11" t="s">
        <v>1739</v>
      </c>
      <c r="D309" s="11">
        <v>75.0</v>
      </c>
      <c r="E309" s="11" t="s">
        <v>1826</v>
      </c>
      <c r="F309" s="11" t="s">
        <v>1665</v>
      </c>
      <c r="G309" s="11">
        <v>4.0</v>
      </c>
      <c r="H309" s="11" t="s">
        <v>1681</v>
      </c>
      <c r="I309" s="11">
        <v>2.0</v>
      </c>
    </row>
    <row r="310">
      <c r="A310" s="11" t="s">
        <v>1827</v>
      </c>
      <c r="B310" s="11" t="s">
        <v>1747</v>
      </c>
      <c r="C310" s="11" t="s">
        <v>1739</v>
      </c>
      <c r="D310" s="11">
        <v>150.0</v>
      </c>
      <c r="E310" s="11" t="s">
        <v>1826</v>
      </c>
      <c r="F310" s="11" t="s">
        <v>1665</v>
      </c>
      <c r="G310" s="11">
        <v>6.0</v>
      </c>
    </row>
    <row r="311">
      <c r="A311" s="11" t="s">
        <v>1828</v>
      </c>
      <c r="B311" s="11" t="s">
        <v>197</v>
      </c>
      <c r="C311" s="11" t="s">
        <v>1739</v>
      </c>
      <c r="D311" s="11">
        <v>150.0</v>
      </c>
      <c r="E311" s="55" t="s">
        <v>1829</v>
      </c>
      <c r="F311" s="11" t="s">
        <v>1665</v>
      </c>
      <c r="G311" s="11">
        <v>8.0</v>
      </c>
      <c r="H311" s="11" t="s">
        <v>1681</v>
      </c>
      <c r="I311" s="11">
        <v>3.0</v>
      </c>
    </row>
    <row r="312">
      <c r="A312" s="11" t="s">
        <v>1830</v>
      </c>
      <c r="B312" s="11" t="s">
        <v>197</v>
      </c>
      <c r="C312" s="11" t="s">
        <v>1739</v>
      </c>
      <c r="D312" s="11">
        <v>75.0</v>
      </c>
      <c r="E312" s="11" t="s">
        <v>1831</v>
      </c>
      <c r="F312" s="11" t="s">
        <v>1665</v>
      </c>
      <c r="G312" s="11">
        <v>4.0</v>
      </c>
      <c r="H312" s="11" t="s">
        <v>1681</v>
      </c>
      <c r="I312" s="11">
        <v>2.0</v>
      </c>
    </row>
    <row r="313">
      <c r="A313" s="11" t="s">
        <v>1832</v>
      </c>
      <c r="B313" s="11" t="s">
        <v>1747</v>
      </c>
      <c r="C313" s="11" t="s">
        <v>1739</v>
      </c>
      <c r="D313" s="11">
        <v>150.0</v>
      </c>
      <c r="E313" s="11" t="s">
        <v>1831</v>
      </c>
      <c r="F313" s="11" t="s">
        <v>1665</v>
      </c>
      <c r="G313" s="11">
        <v>6.0</v>
      </c>
    </row>
    <row r="314">
      <c r="A314" s="11" t="s">
        <v>1833</v>
      </c>
      <c r="B314" s="11" t="s">
        <v>197</v>
      </c>
      <c r="C314" s="11" t="s">
        <v>1739</v>
      </c>
      <c r="D314" s="11">
        <v>100.0</v>
      </c>
      <c r="E314" s="11" t="s">
        <v>1834</v>
      </c>
      <c r="F314" s="11" t="s">
        <v>1665</v>
      </c>
      <c r="G314" s="11">
        <v>4.0</v>
      </c>
      <c r="H314" s="11" t="s">
        <v>1681</v>
      </c>
      <c r="I314" s="11">
        <v>2.0</v>
      </c>
    </row>
    <row r="315">
      <c r="A315" s="11" t="s">
        <v>1835</v>
      </c>
      <c r="B315" s="11" t="s">
        <v>1747</v>
      </c>
      <c r="C315" s="11" t="s">
        <v>1739</v>
      </c>
      <c r="D315" s="11">
        <v>150.0</v>
      </c>
      <c r="E315" s="11" t="s">
        <v>1834</v>
      </c>
      <c r="F315" s="11" t="s">
        <v>1665</v>
      </c>
      <c r="G315" s="11">
        <v>6.0</v>
      </c>
    </row>
    <row r="316">
      <c r="A316" s="11" t="s">
        <v>1836</v>
      </c>
      <c r="B316" s="11" t="s">
        <v>197</v>
      </c>
      <c r="C316" s="11" t="s">
        <v>1739</v>
      </c>
      <c r="D316" s="11">
        <v>75.0</v>
      </c>
      <c r="E316" s="11" t="s">
        <v>1837</v>
      </c>
      <c r="F316" s="11" t="s">
        <v>1665</v>
      </c>
      <c r="G316" s="11">
        <v>4.0</v>
      </c>
      <c r="H316" s="11" t="s">
        <v>1681</v>
      </c>
      <c r="I316" s="11">
        <v>2.0</v>
      </c>
    </row>
    <row r="317">
      <c r="A317" s="11" t="s">
        <v>1838</v>
      </c>
      <c r="B317" s="11" t="s">
        <v>1747</v>
      </c>
      <c r="C317" s="11" t="s">
        <v>1739</v>
      </c>
      <c r="D317" s="11">
        <v>150.0</v>
      </c>
      <c r="E317" s="11" t="s">
        <v>1837</v>
      </c>
      <c r="F317" s="11" t="s">
        <v>1665</v>
      </c>
      <c r="G317" s="11">
        <v>6.0</v>
      </c>
    </row>
    <row r="318">
      <c r="A318" s="11" t="s">
        <v>498</v>
      </c>
      <c r="B318" s="11" t="s">
        <v>1747</v>
      </c>
      <c r="C318" s="11" t="s">
        <v>1839</v>
      </c>
      <c r="D318" s="11">
        <v>15.0</v>
      </c>
      <c r="E318" s="11" t="s">
        <v>1840</v>
      </c>
      <c r="F318" s="11" t="s">
        <v>1665</v>
      </c>
      <c r="G318" s="11">
        <v>5.0</v>
      </c>
    </row>
    <row r="319">
      <c r="A319" s="11" t="s">
        <v>528</v>
      </c>
      <c r="B319" s="11" t="s">
        <v>197</v>
      </c>
      <c r="C319" s="11" t="s">
        <v>1750</v>
      </c>
      <c r="D319" s="11">
        <v>20.0</v>
      </c>
      <c r="E319" s="11" t="s">
        <v>1841</v>
      </c>
      <c r="F319" s="11" t="s">
        <v>1656</v>
      </c>
      <c r="G319" s="11">
        <v>3.0</v>
      </c>
    </row>
    <row r="320">
      <c r="A320" s="11" t="s">
        <v>546</v>
      </c>
      <c r="B320" s="11" t="s">
        <v>197</v>
      </c>
      <c r="C320" s="11" t="s">
        <v>1842</v>
      </c>
      <c r="D320" s="11">
        <v>100.0</v>
      </c>
      <c r="E320" s="11" t="s">
        <v>1843</v>
      </c>
      <c r="F320" s="11" t="s">
        <v>1665</v>
      </c>
      <c r="G320" s="11">
        <v>3.0</v>
      </c>
      <c r="H320" s="11" t="s">
        <v>1674</v>
      </c>
      <c r="I320" s="11">
        <v>3.0</v>
      </c>
    </row>
    <row r="321">
      <c r="A321" s="11" t="s">
        <v>566</v>
      </c>
      <c r="B321" s="11" t="s">
        <v>1747</v>
      </c>
      <c r="C321" s="11" t="s">
        <v>1839</v>
      </c>
      <c r="D321" s="11">
        <v>15.0</v>
      </c>
      <c r="E321" s="11" t="s">
        <v>1844</v>
      </c>
      <c r="F321" s="11" t="s">
        <v>1665</v>
      </c>
      <c r="G321" s="11">
        <v>3.0</v>
      </c>
    </row>
    <row r="322">
      <c r="A322" s="11" t="s">
        <v>572</v>
      </c>
      <c r="B322" s="11" t="s">
        <v>1747</v>
      </c>
      <c r="C322" s="11" t="s">
        <v>1839</v>
      </c>
      <c r="D322" s="11">
        <v>15.0</v>
      </c>
      <c r="E322" s="11" t="s">
        <v>1845</v>
      </c>
      <c r="F322" s="11" t="s">
        <v>1665</v>
      </c>
      <c r="G322" s="11">
        <v>5.0</v>
      </c>
    </row>
    <row r="323">
      <c r="A323" s="11" t="s">
        <v>578</v>
      </c>
      <c r="B323" s="11" t="s">
        <v>197</v>
      </c>
      <c r="C323" s="11" t="s">
        <v>1842</v>
      </c>
      <c r="D323" s="11">
        <v>100.0</v>
      </c>
      <c r="E323" s="11" t="s">
        <v>1846</v>
      </c>
      <c r="F323" s="11" t="s">
        <v>1665</v>
      </c>
      <c r="G323" s="11">
        <v>5.0</v>
      </c>
      <c r="H323" s="11" t="s">
        <v>1671</v>
      </c>
      <c r="I323" s="11">
        <v>5.0</v>
      </c>
      <c r="J323" s="11" t="s">
        <v>1674</v>
      </c>
      <c r="K323" s="11">
        <v>3.0</v>
      </c>
    </row>
    <row r="324">
      <c r="A324" s="11" t="s">
        <v>580</v>
      </c>
      <c r="B324" s="11" t="s">
        <v>1747</v>
      </c>
      <c r="C324" s="11" t="s">
        <v>1839</v>
      </c>
      <c r="D324" s="11">
        <v>15.0</v>
      </c>
      <c r="E324" s="11" t="s">
        <v>1847</v>
      </c>
      <c r="F324" s="11" t="s">
        <v>1665</v>
      </c>
      <c r="G324" s="11">
        <v>5.0</v>
      </c>
    </row>
    <row r="325">
      <c r="A325" s="11" t="s">
        <v>496</v>
      </c>
      <c r="B325" s="11" t="s">
        <v>1747</v>
      </c>
      <c r="C325" s="11" t="s">
        <v>1839</v>
      </c>
      <c r="D325" s="11">
        <v>15.0</v>
      </c>
      <c r="E325" s="11" t="s">
        <v>1848</v>
      </c>
      <c r="F325" s="11" t="s">
        <v>1665</v>
      </c>
      <c r="G325" s="11">
        <v>3.0</v>
      </c>
    </row>
    <row r="326">
      <c r="A326" s="11" t="s">
        <v>542</v>
      </c>
      <c r="B326" s="11" t="s">
        <v>197</v>
      </c>
      <c r="C326" s="11" t="s">
        <v>1849</v>
      </c>
      <c r="D326" s="11">
        <v>60.0</v>
      </c>
      <c r="E326" s="11" t="s">
        <v>1850</v>
      </c>
      <c r="F326" s="11" t="s">
        <v>1656</v>
      </c>
      <c r="G326" s="11">
        <v>8.0</v>
      </c>
    </row>
    <row r="327">
      <c r="A327" s="11" t="s">
        <v>1851</v>
      </c>
      <c r="B327" s="11" t="s">
        <v>197</v>
      </c>
      <c r="C327" s="11" t="s">
        <v>1849</v>
      </c>
      <c r="D327" s="11">
        <v>60.0</v>
      </c>
      <c r="E327" s="11" t="s">
        <v>1852</v>
      </c>
      <c r="F327" s="11" t="s">
        <v>1656</v>
      </c>
      <c r="G327" s="11">
        <v>2.0</v>
      </c>
    </row>
    <row r="328">
      <c r="A328" s="11" t="s">
        <v>1853</v>
      </c>
      <c r="B328" s="11" t="s">
        <v>197</v>
      </c>
      <c r="C328" s="11" t="s">
        <v>1750</v>
      </c>
      <c r="D328" s="11">
        <v>80.0</v>
      </c>
      <c r="E328" s="11" t="s">
        <v>1854</v>
      </c>
      <c r="F328" s="11" t="s">
        <v>1656</v>
      </c>
      <c r="G328" s="11">
        <v>3.0</v>
      </c>
    </row>
    <row r="329">
      <c r="A329" s="11" t="s">
        <v>614</v>
      </c>
      <c r="B329" s="11" t="s">
        <v>197</v>
      </c>
      <c r="C329" s="11" t="s">
        <v>1855</v>
      </c>
      <c r="D329" s="11">
        <v>50.0</v>
      </c>
      <c r="E329" s="55" t="s">
        <v>1856</v>
      </c>
      <c r="F329" s="11" t="s">
        <v>1656</v>
      </c>
      <c r="G329" s="11">
        <v>3.0</v>
      </c>
    </row>
    <row r="330">
      <c r="A330" s="11" t="s">
        <v>628</v>
      </c>
      <c r="B330" s="11" t="s">
        <v>1747</v>
      </c>
      <c r="C330" s="11" t="s">
        <v>1857</v>
      </c>
      <c r="D330" s="11">
        <v>480.0</v>
      </c>
      <c r="E330" s="11" t="s">
        <v>1858</v>
      </c>
      <c r="F330" s="11" t="s">
        <v>1665</v>
      </c>
      <c r="G330" s="11">
        <v>10.0</v>
      </c>
    </row>
    <row r="331">
      <c r="A331" s="11" t="s">
        <v>640</v>
      </c>
      <c r="B331" s="11" t="s">
        <v>1747</v>
      </c>
      <c r="C331" s="11" t="s">
        <v>1839</v>
      </c>
      <c r="D331" s="11">
        <v>15.0</v>
      </c>
      <c r="E331" s="11" t="s">
        <v>1859</v>
      </c>
      <c r="F331" s="11" t="s">
        <v>1665</v>
      </c>
      <c r="G331" s="11">
        <v>3.0</v>
      </c>
    </row>
    <row r="332">
      <c r="A332" s="11" t="s">
        <v>494</v>
      </c>
      <c r="B332" s="11" t="s">
        <v>1747</v>
      </c>
      <c r="C332" s="11" t="s">
        <v>1860</v>
      </c>
      <c r="D332" s="11">
        <v>1000.0</v>
      </c>
      <c r="E332" s="11" t="s">
        <v>1861</v>
      </c>
      <c r="F332" s="11" t="s">
        <v>1665</v>
      </c>
      <c r="G332" s="11">
        <v>20.0</v>
      </c>
      <c r="H332" s="11" t="s">
        <v>1674</v>
      </c>
      <c r="I332" s="11">
        <v>25.0</v>
      </c>
      <c r="J332" s="11" t="s">
        <v>1671</v>
      </c>
      <c r="K332" s="11">
        <v>12.0</v>
      </c>
      <c r="L332" s="11" t="s">
        <v>1710</v>
      </c>
      <c r="M332" s="11">
        <v>10.0</v>
      </c>
      <c r="N332" s="11" t="s">
        <v>213</v>
      </c>
      <c r="O332" s="11">
        <v>5.0</v>
      </c>
    </row>
    <row r="333">
      <c r="A333" s="11" t="s">
        <v>1862</v>
      </c>
      <c r="B333" s="11" t="s">
        <v>1747</v>
      </c>
      <c r="C333" s="11" t="s">
        <v>1863</v>
      </c>
      <c r="D333" s="11">
        <v>1000.0</v>
      </c>
      <c r="E333" s="11" t="s">
        <v>1864</v>
      </c>
      <c r="F333" s="11" t="s">
        <v>1665</v>
      </c>
      <c r="G333" s="11">
        <v>10.0</v>
      </c>
      <c r="H333" s="11" t="s">
        <v>1674</v>
      </c>
      <c r="I333" s="11">
        <v>5.0</v>
      </c>
    </row>
    <row r="334">
      <c r="A334" s="11" t="s">
        <v>1865</v>
      </c>
      <c r="B334" s="11" t="s">
        <v>1747</v>
      </c>
      <c r="C334" s="11" t="s">
        <v>1863</v>
      </c>
      <c r="D334" s="11">
        <v>1000.0</v>
      </c>
      <c r="E334" s="11" t="s">
        <v>1866</v>
      </c>
      <c r="F334" s="11" t="s">
        <v>1665</v>
      </c>
      <c r="G334" s="11">
        <v>10.0</v>
      </c>
      <c r="H334" s="11" t="s">
        <v>1674</v>
      </c>
      <c r="I334" s="11">
        <v>5.0</v>
      </c>
    </row>
    <row r="335">
      <c r="A335" s="11" t="s">
        <v>1867</v>
      </c>
      <c r="B335" s="11" t="s">
        <v>1747</v>
      </c>
      <c r="C335" s="11" t="s">
        <v>1863</v>
      </c>
      <c r="D335" s="11">
        <v>1000.0</v>
      </c>
      <c r="E335" s="11" t="s">
        <v>1868</v>
      </c>
      <c r="F335" s="11" t="s">
        <v>1665</v>
      </c>
      <c r="G335" s="11">
        <v>10.0</v>
      </c>
      <c r="H335" s="11" t="s">
        <v>1674</v>
      </c>
      <c r="I335" s="11">
        <v>5.0</v>
      </c>
    </row>
    <row r="336">
      <c r="A336" s="11" t="s">
        <v>510</v>
      </c>
      <c r="B336" s="11" t="s">
        <v>1747</v>
      </c>
      <c r="C336" s="11" t="s">
        <v>1869</v>
      </c>
      <c r="D336" s="11">
        <v>100.0</v>
      </c>
      <c r="E336" s="11" t="s">
        <v>1870</v>
      </c>
      <c r="F336" s="11" t="s">
        <v>1665</v>
      </c>
      <c r="G336" s="11">
        <v>3.0</v>
      </c>
      <c r="H336" s="11" t="s">
        <v>1674</v>
      </c>
      <c r="I336" s="11">
        <v>1.0</v>
      </c>
    </row>
    <row r="337">
      <c r="A337" s="11" t="s">
        <v>512</v>
      </c>
      <c r="B337" s="11" t="s">
        <v>1747</v>
      </c>
      <c r="C337" s="11" t="s">
        <v>1869</v>
      </c>
      <c r="D337" s="11">
        <v>100.0</v>
      </c>
      <c r="E337" s="70" t="s">
        <v>1871</v>
      </c>
      <c r="F337" s="11" t="s">
        <v>1665</v>
      </c>
      <c r="G337" s="11">
        <v>6.0</v>
      </c>
      <c r="H337" s="11" t="s">
        <v>1674</v>
      </c>
      <c r="I337" s="11">
        <v>2.0</v>
      </c>
    </row>
    <row r="338">
      <c r="A338" s="11" t="s">
        <v>548</v>
      </c>
      <c r="B338" s="11" t="s">
        <v>1747</v>
      </c>
      <c r="C338" s="11" t="s">
        <v>1872</v>
      </c>
      <c r="D338" s="11">
        <v>60.0</v>
      </c>
      <c r="E338" s="55" t="s">
        <v>1873</v>
      </c>
      <c r="F338" s="11" t="s">
        <v>1674</v>
      </c>
      <c r="G338" s="11">
        <v>3.0</v>
      </c>
      <c r="H338" s="11" t="s">
        <v>1705</v>
      </c>
      <c r="I338" s="11">
        <v>1.0</v>
      </c>
      <c r="J338" s="11" t="s">
        <v>1663</v>
      </c>
      <c r="K338" s="11">
        <v>10.0</v>
      </c>
    </row>
    <row r="339">
      <c r="A339" s="11" t="s">
        <v>602</v>
      </c>
      <c r="B339" s="11" t="s">
        <v>1747</v>
      </c>
      <c r="C339" s="11" t="s">
        <v>1839</v>
      </c>
      <c r="D339" s="11">
        <v>90.0</v>
      </c>
      <c r="E339" s="55" t="s">
        <v>1874</v>
      </c>
      <c r="F339" s="11" t="s">
        <v>1665</v>
      </c>
      <c r="G339" s="11">
        <v>5.0</v>
      </c>
      <c r="H339" s="11" t="s">
        <v>1671</v>
      </c>
      <c r="I339" s="11">
        <v>4.0</v>
      </c>
      <c r="J339" s="11" t="s">
        <v>1704</v>
      </c>
      <c r="K339" s="11">
        <v>4.0</v>
      </c>
    </row>
    <row r="340">
      <c r="A340" s="11" t="s">
        <v>516</v>
      </c>
      <c r="B340" s="11" t="s">
        <v>1747</v>
      </c>
      <c r="C340" s="11" t="s">
        <v>1839</v>
      </c>
      <c r="D340" s="11">
        <v>210.0</v>
      </c>
      <c r="E340" s="11" t="s">
        <v>1874</v>
      </c>
      <c r="F340" s="11" t="s">
        <v>1674</v>
      </c>
      <c r="G340" s="11">
        <v>4.0</v>
      </c>
      <c r="H340" s="11" t="s">
        <v>1671</v>
      </c>
      <c r="I340" s="11">
        <v>4.0</v>
      </c>
      <c r="J340" s="11" t="s">
        <v>1710</v>
      </c>
      <c r="K340" s="11">
        <v>3.0</v>
      </c>
      <c r="L340" s="11" t="s">
        <v>1675</v>
      </c>
      <c r="M340" s="11">
        <v>1.0</v>
      </c>
    </row>
    <row r="341">
      <c r="A341" s="11" t="s">
        <v>638</v>
      </c>
      <c r="B341" s="11" t="s">
        <v>1747</v>
      </c>
      <c r="C341" s="11" t="s">
        <v>1839</v>
      </c>
      <c r="D341" s="11">
        <v>50.0</v>
      </c>
      <c r="E341" s="55" t="s">
        <v>1875</v>
      </c>
      <c r="F341" s="11" t="s">
        <v>1665</v>
      </c>
      <c r="G341" s="11">
        <v>15.0</v>
      </c>
      <c r="H341" s="11" t="s">
        <v>1671</v>
      </c>
      <c r="I341" s="11">
        <v>5.0</v>
      </c>
      <c r="J341" s="11" t="s">
        <v>1710</v>
      </c>
      <c r="K341" s="11">
        <v>1.0</v>
      </c>
      <c r="L341" s="11" t="s">
        <v>213</v>
      </c>
      <c r="M341" s="11">
        <v>3.0</v>
      </c>
    </row>
    <row r="342">
      <c r="A342" s="11" t="s">
        <v>490</v>
      </c>
      <c r="B342" s="11" t="s">
        <v>1747</v>
      </c>
      <c r="C342" s="11" t="s">
        <v>1842</v>
      </c>
      <c r="D342" s="11">
        <v>50.0</v>
      </c>
      <c r="E342" s="11" t="s">
        <v>1876</v>
      </c>
      <c r="F342" s="11" t="s">
        <v>1665</v>
      </c>
      <c r="G342" s="11">
        <v>5.0</v>
      </c>
      <c r="H342" s="11" t="s">
        <v>1671</v>
      </c>
      <c r="I342" s="11">
        <v>3.0</v>
      </c>
      <c r="J342" s="11" t="s">
        <v>1705</v>
      </c>
      <c r="K342" s="11">
        <v>1.0</v>
      </c>
    </row>
    <row r="343">
      <c r="A343" s="11" t="s">
        <v>504</v>
      </c>
      <c r="B343" s="11" t="s">
        <v>1747</v>
      </c>
      <c r="C343" s="11" t="s">
        <v>1739</v>
      </c>
      <c r="D343" s="11">
        <v>50.0</v>
      </c>
      <c r="E343" s="55" t="s">
        <v>1877</v>
      </c>
      <c r="F343" s="11" t="s">
        <v>1665</v>
      </c>
      <c r="G343" s="11">
        <v>6.0</v>
      </c>
      <c r="H343" s="11" t="s">
        <v>1671</v>
      </c>
      <c r="I343" s="11">
        <v>6.0</v>
      </c>
      <c r="J343" s="11" t="s">
        <v>1710</v>
      </c>
      <c r="K343" s="11">
        <v>4.0</v>
      </c>
      <c r="L343" s="11" t="s">
        <v>1639</v>
      </c>
      <c r="M343" s="11">
        <v>4.0</v>
      </c>
    </row>
    <row r="344">
      <c r="A344" s="11" t="s">
        <v>522</v>
      </c>
      <c r="B344" s="11" t="s">
        <v>197</v>
      </c>
      <c r="C344" s="11" t="s">
        <v>1878</v>
      </c>
      <c r="D344" s="11">
        <v>15.0</v>
      </c>
      <c r="E344" s="11" t="s">
        <v>1879</v>
      </c>
      <c r="F344" s="11" t="s">
        <v>1656</v>
      </c>
      <c r="G344" s="11">
        <v>2.0</v>
      </c>
    </row>
    <row r="345">
      <c r="A345" s="40" t="s">
        <v>524</v>
      </c>
      <c r="B345" s="11" t="s">
        <v>197</v>
      </c>
      <c r="C345" s="11" t="s">
        <v>1878</v>
      </c>
      <c r="D345" s="11">
        <v>15.0</v>
      </c>
      <c r="E345" s="11" t="s">
        <v>1880</v>
      </c>
      <c r="F345" s="11" t="s">
        <v>1656</v>
      </c>
      <c r="G345" s="11">
        <v>3.0</v>
      </c>
    </row>
    <row r="346">
      <c r="A346" s="11" t="s">
        <v>530</v>
      </c>
      <c r="B346" s="11" t="s">
        <v>197</v>
      </c>
      <c r="C346" s="11" t="s">
        <v>1878</v>
      </c>
      <c r="D346" s="11">
        <v>30.0</v>
      </c>
      <c r="E346" s="70" t="s">
        <v>1881</v>
      </c>
      <c r="F346" s="11" t="s">
        <v>1665</v>
      </c>
      <c r="G346" s="11">
        <v>5.0</v>
      </c>
      <c r="H346" s="11" t="s">
        <v>1671</v>
      </c>
      <c r="I346" s="11">
        <v>3.0</v>
      </c>
    </row>
    <row r="347">
      <c r="A347" s="11" t="s">
        <v>532</v>
      </c>
      <c r="B347" s="11" t="s">
        <v>1747</v>
      </c>
      <c r="C347" s="11" t="s">
        <v>1842</v>
      </c>
      <c r="D347" s="11">
        <v>50.0</v>
      </c>
      <c r="E347" s="55" t="s">
        <v>1882</v>
      </c>
      <c r="F347" s="11" t="s">
        <v>1665</v>
      </c>
      <c r="G347" s="11">
        <v>5.0</v>
      </c>
      <c r="H347" s="11" t="s">
        <v>1671</v>
      </c>
      <c r="I347" s="11">
        <v>2.0</v>
      </c>
      <c r="J347" s="11" t="s">
        <v>1710</v>
      </c>
      <c r="K347" s="11">
        <v>2.0</v>
      </c>
      <c r="L347" s="11" t="s">
        <v>1704</v>
      </c>
      <c r="M347" s="11">
        <v>4.0</v>
      </c>
    </row>
    <row r="348">
      <c r="A348" s="11" t="s">
        <v>540</v>
      </c>
      <c r="B348" s="11" t="s">
        <v>1747</v>
      </c>
      <c r="C348" s="11" t="s">
        <v>1739</v>
      </c>
      <c r="D348" s="11">
        <v>120.0</v>
      </c>
      <c r="E348" s="11" t="s">
        <v>1883</v>
      </c>
      <c r="F348" s="11" t="s">
        <v>1665</v>
      </c>
      <c r="G348" s="11">
        <v>5.0</v>
      </c>
      <c r="H348" s="11" t="s">
        <v>1671</v>
      </c>
      <c r="I348" s="11">
        <v>3.0</v>
      </c>
      <c r="J348" s="11" t="s">
        <v>1704</v>
      </c>
      <c r="K348" s="11">
        <v>6.0</v>
      </c>
    </row>
    <row r="349">
      <c r="A349" s="11" t="s">
        <v>544</v>
      </c>
      <c r="B349" s="11" t="s">
        <v>1747</v>
      </c>
      <c r="C349" s="11" t="s">
        <v>1739</v>
      </c>
      <c r="D349" s="11">
        <v>100.0</v>
      </c>
      <c r="E349" s="55" t="s">
        <v>1884</v>
      </c>
      <c r="F349" s="11" t="s">
        <v>1665</v>
      </c>
      <c r="G349" s="11">
        <v>8.0</v>
      </c>
      <c r="H349" s="11" t="s">
        <v>1674</v>
      </c>
      <c r="I349" s="11">
        <v>8.0</v>
      </c>
      <c r="J349" s="11" t="s">
        <v>1671</v>
      </c>
      <c r="K349" s="11">
        <v>8.0</v>
      </c>
      <c r="L349" s="11" t="s">
        <v>1710</v>
      </c>
      <c r="M349" s="11">
        <v>4.0</v>
      </c>
    </row>
    <row r="350">
      <c r="A350" s="11" t="s">
        <v>1885</v>
      </c>
      <c r="B350" s="11" t="s">
        <v>197</v>
      </c>
      <c r="C350" s="11" t="s">
        <v>1878</v>
      </c>
      <c r="D350" s="11">
        <v>150.0</v>
      </c>
      <c r="E350" s="55" t="s">
        <v>1886</v>
      </c>
      <c r="F350" s="11" t="s">
        <v>1665</v>
      </c>
      <c r="G350" s="11">
        <v>10.0</v>
      </c>
      <c r="H350" s="11" t="s">
        <v>1671</v>
      </c>
      <c r="I350" s="11">
        <v>5.0</v>
      </c>
      <c r="J350" s="11" t="s">
        <v>1631</v>
      </c>
      <c r="K350" s="11">
        <v>10.0</v>
      </c>
    </row>
    <row r="351">
      <c r="A351" s="11" t="s">
        <v>1887</v>
      </c>
      <c r="B351" s="11" t="s">
        <v>1747</v>
      </c>
      <c r="C351" s="11" t="s">
        <v>1878</v>
      </c>
      <c r="D351" s="11">
        <v>300.0</v>
      </c>
      <c r="E351" s="55" t="s">
        <v>1888</v>
      </c>
      <c r="F351" s="11" t="s">
        <v>1665</v>
      </c>
      <c r="G351" s="11">
        <v>3.0</v>
      </c>
      <c r="H351" s="11" t="s">
        <v>1674</v>
      </c>
      <c r="I351" s="11">
        <v>3.0</v>
      </c>
      <c r="J351" s="11" t="s">
        <v>1671</v>
      </c>
      <c r="K351" s="11">
        <v>3.0</v>
      </c>
    </row>
    <row r="352">
      <c r="A352" s="11" t="s">
        <v>574</v>
      </c>
      <c r="B352" s="11" t="s">
        <v>1747</v>
      </c>
      <c r="C352" s="11" t="s">
        <v>1889</v>
      </c>
      <c r="D352" s="11">
        <v>30.0</v>
      </c>
      <c r="E352" s="55" t="s">
        <v>1890</v>
      </c>
      <c r="F352" s="11" t="s">
        <v>1665</v>
      </c>
      <c r="G352" s="11">
        <v>2.0</v>
      </c>
      <c r="H352" s="11" t="s">
        <v>1681</v>
      </c>
      <c r="I352" s="11">
        <v>1.0</v>
      </c>
    </row>
    <row r="353">
      <c r="A353" s="11" t="s">
        <v>576</v>
      </c>
      <c r="B353" s="11" t="s">
        <v>1747</v>
      </c>
      <c r="C353" s="11" t="s">
        <v>1889</v>
      </c>
      <c r="D353" s="11">
        <v>30.0</v>
      </c>
      <c r="E353" s="55" t="s">
        <v>1891</v>
      </c>
      <c r="F353" s="11" t="s">
        <v>1665</v>
      </c>
      <c r="G353" s="11">
        <v>2.0</v>
      </c>
      <c r="H353" s="11" t="s">
        <v>1681</v>
      </c>
      <c r="I353" s="11">
        <v>1.0</v>
      </c>
    </row>
    <row r="354">
      <c r="A354" s="11" t="s">
        <v>582</v>
      </c>
      <c r="B354" s="11" t="s">
        <v>1747</v>
      </c>
      <c r="C354" s="11" t="s">
        <v>1739</v>
      </c>
      <c r="D354" s="11">
        <v>50.0</v>
      </c>
      <c r="E354" s="55" t="s">
        <v>1892</v>
      </c>
      <c r="F354" s="11" t="s">
        <v>1665</v>
      </c>
      <c r="G354" s="11">
        <v>5.0</v>
      </c>
      <c r="H354" s="11" t="s">
        <v>1681</v>
      </c>
      <c r="I354" s="11">
        <v>3.0</v>
      </c>
    </row>
    <row r="355">
      <c r="A355" s="11" t="s">
        <v>584</v>
      </c>
      <c r="B355" s="11" t="s">
        <v>197</v>
      </c>
      <c r="C355" s="11" t="s">
        <v>1739</v>
      </c>
      <c r="D355" s="11">
        <v>50.0</v>
      </c>
      <c r="E355" s="55" t="s">
        <v>1893</v>
      </c>
      <c r="F355" s="11" t="s">
        <v>213</v>
      </c>
      <c r="G355" s="11">
        <v>1.0</v>
      </c>
    </row>
    <row r="356">
      <c r="A356" s="11" t="s">
        <v>586</v>
      </c>
      <c r="B356" s="11" t="s">
        <v>1747</v>
      </c>
      <c r="C356" s="11" t="s">
        <v>1739</v>
      </c>
      <c r="D356" s="11">
        <v>100.0</v>
      </c>
      <c r="E356" s="55" t="s">
        <v>1894</v>
      </c>
      <c r="F356" s="11" t="s">
        <v>1665</v>
      </c>
      <c r="G356" s="11">
        <v>10.0</v>
      </c>
      <c r="H356" s="11" t="s">
        <v>1674</v>
      </c>
      <c r="I356" s="11">
        <v>3.0</v>
      </c>
      <c r="J356" s="11" t="s">
        <v>1671</v>
      </c>
      <c r="K356" s="11">
        <v>5.0</v>
      </c>
      <c r="L356" s="11" t="s">
        <v>1710</v>
      </c>
      <c r="M356" s="11">
        <v>3.0</v>
      </c>
      <c r="N356" s="11" t="s">
        <v>213</v>
      </c>
      <c r="O356" s="11">
        <v>1.0</v>
      </c>
    </row>
    <row r="357">
      <c r="A357" s="11" t="s">
        <v>588</v>
      </c>
      <c r="B357" s="11" t="s">
        <v>1747</v>
      </c>
      <c r="C357" s="11" t="s">
        <v>1739</v>
      </c>
      <c r="D357" s="11">
        <v>100.0</v>
      </c>
      <c r="E357" s="55" t="s">
        <v>1895</v>
      </c>
      <c r="F357" s="11" t="s">
        <v>1665</v>
      </c>
      <c r="G357" s="11">
        <v>4.0</v>
      </c>
      <c r="H357" s="11" t="s">
        <v>1671</v>
      </c>
      <c r="I357" s="11">
        <v>2.0</v>
      </c>
      <c r="J357" s="11" t="s">
        <v>1681</v>
      </c>
      <c r="K357" s="11">
        <v>2.0</v>
      </c>
    </row>
    <row r="358">
      <c r="A358" s="11" t="s">
        <v>590</v>
      </c>
      <c r="B358" s="11" t="s">
        <v>1747</v>
      </c>
      <c r="C358" s="11" t="s">
        <v>1739</v>
      </c>
      <c r="D358" s="11">
        <v>50.0</v>
      </c>
      <c r="E358" s="55" t="s">
        <v>1896</v>
      </c>
      <c r="F358" s="11" t="s">
        <v>1665</v>
      </c>
      <c r="G358" s="11">
        <v>10.0</v>
      </c>
      <c r="H358" s="11" t="s">
        <v>1671</v>
      </c>
      <c r="I358" s="11">
        <v>5.0</v>
      </c>
      <c r="J358" s="11" t="s">
        <v>1705</v>
      </c>
      <c r="K358" s="11">
        <v>3.0</v>
      </c>
      <c r="L358" s="11" t="s">
        <v>213</v>
      </c>
      <c r="M358" s="11">
        <v>1.0</v>
      </c>
    </row>
    <row r="359">
      <c r="A359" s="11" t="s">
        <v>592</v>
      </c>
      <c r="B359" s="11" t="s">
        <v>1747</v>
      </c>
      <c r="C359" s="11" t="s">
        <v>1842</v>
      </c>
      <c r="D359" s="11">
        <v>50.0</v>
      </c>
      <c r="E359" s="55" t="s">
        <v>1897</v>
      </c>
      <c r="F359" s="11" t="s">
        <v>1665</v>
      </c>
      <c r="G359" s="11">
        <v>3.0</v>
      </c>
    </row>
    <row r="360">
      <c r="A360" s="11" t="s">
        <v>600</v>
      </c>
      <c r="B360" s="11" t="s">
        <v>197</v>
      </c>
      <c r="C360" s="11" t="s">
        <v>1739</v>
      </c>
      <c r="D360" s="11">
        <v>30.0</v>
      </c>
      <c r="E360" s="55" t="s">
        <v>1898</v>
      </c>
      <c r="F360" s="11" t="s">
        <v>1656</v>
      </c>
      <c r="G360" s="11">
        <v>3.0</v>
      </c>
    </row>
    <row r="361">
      <c r="A361" s="11" t="s">
        <v>606</v>
      </c>
      <c r="B361" s="11" t="s">
        <v>197</v>
      </c>
      <c r="C361" s="11" t="s">
        <v>1878</v>
      </c>
      <c r="D361" s="11">
        <v>50.0</v>
      </c>
      <c r="E361" s="55" t="s">
        <v>1899</v>
      </c>
      <c r="F361" s="11" t="s">
        <v>1665</v>
      </c>
      <c r="G361" s="11">
        <v>6.0</v>
      </c>
      <c r="H361" s="11" t="s">
        <v>1674</v>
      </c>
      <c r="I361" s="11">
        <v>2.0</v>
      </c>
      <c r="J361" s="11" t="s">
        <v>1671</v>
      </c>
      <c r="K361" s="11">
        <v>3.0</v>
      </c>
      <c r="L361" s="11" t="s">
        <v>1710</v>
      </c>
      <c r="M361" s="11">
        <v>3.0</v>
      </c>
    </row>
    <row r="362">
      <c r="A362" s="11" t="s">
        <v>608</v>
      </c>
      <c r="B362" s="11" t="s">
        <v>1747</v>
      </c>
      <c r="C362" s="11" t="s">
        <v>1878</v>
      </c>
      <c r="D362" s="11">
        <v>100.0</v>
      </c>
      <c r="E362" s="11" t="s">
        <v>1900</v>
      </c>
      <c r="F362" s="11" t="s">
        <v>1631</v>
      </c>
      <c r="G362" s="11">
        <v>15.0</v>
      </c>
      <c r="H362" s="11" t="s">
        <v>1671</v>
      </c>
      <c r="I362" s="11">
        <v>5.0</v>
      </c>
      <c r="J362" s="11" t="s">
        <v>1639</v>
      </c>
      <c r="K362" s="11">
        <v>3.0</v>
      </c>
      <c r="L362" s="11" t="s">
        <v>1665</v>
      </c>
      <c r="M362" s="11">
        <v>8.0</v>
      </c>
      <c r="N362" s="11" t="s">
        <v>1674</v>
      </c>
      <c r="O362" s="11">
        <v>1.0</v>
      </c>
    </row>
    <row r="363">
      <c r="A363" s="40" t="s">
        <v>610</v>
      </c>
      <c r="B363" s="11" t="s">
        <v>1747</v>
      </c>
      <c r="C363" s="11" t="s">
        <v>1878</v>
      </c>
      <c r="D363" s="11">
        <v>75.0</v>
      </c>
      <c r="E363" s="55" t="s">
        <v>1901</v>
      </c>
      <c r="F363" s="11" t="s">
        <v>1665</v>
      </c>
      <c r="G363" s="11">
        <v>10.0</v>
      </c>
      <c r="H363" s="11" t="s">
        <v>1674</v>
      </c>
      <c r="I363" s="11">
        <v>10.0</v>
      </c>
      <c r="J363" s="11" t="s">
        <v>1705</v>
      </c>
      <c r="K363" s="11">
        <v>3.0</v>
      </c>
      <c r="L363" s="11" t="s">
        <v>1631</v>
      </c>
      <c r="M363" s="11">
        <v>1.0</v>
      </c>
      <c r="N363" s="11" t="s">
        <v>1671</v>
      </c>
      <c r="O363" s="11">
        <v>3.0</v>
      </c>
    </row>
    <row r="364">
      <c r="A364" s="11" t="s">
        <v>616</v>
      </c>
      <c r="B364" s="11" t="s">
        <v>1747</v>
      </c>
      <c r="C364" s="11" t="s">
        <v>1842</v>
      </c>
      <c r="D364" s="11">
        <v>30.0</v>
      </c>
      <c r="E364" s="55" t="s">
        <v>1902</v>
      </c>
      <c r="F364" s="11" t="s">
        <v>1665</v>
      </c>
      <c r="G364" s="11">
        <v>3.0</v>
      </c>
      <c r="H364" s="11" t="s">
        <v>1704</v>
      </c>
      <c r="I364" s="11">
        <v>10.0</v>
      </c>
    </row>
    <row r="365">
      <c r="A365" s="11" t="s">
        <v>626</v>
      </c>
      <c r="B365" s="11" t="s">
        <v>205</v>
      </c>
      <c r="C365" s="11" t="s">
        <v>1878</v>
      </c>
      <c r="D365" s="11">
        <v>180.0</v>
      </c>
      <c r="E365" s="55" t="s">
        <v>1903</v>
      </c>
      <c r="F365" s="11" t="s">
        <v>1656</v>
      </c>
      <c r="G365" s="11">
        <v>10.0</v>
      </c>
    </row>
    <row r="366">
      <c r="A366" s="11" t="s">
        <v>636</v>
      </c>
      <c r="B366" s="11" t="s">
        <v>1747</v>
      </c>
      <c r="C366" s="11" t="s">
        <v>1842</v>
      </c>
      <c r="D366" s="11">
        <v>50.0</v>
      </c>
      <c r="E366" s="11" t="s">
        <v>1904</v>
      </c>
      <c r="F366" s="11" t="s">
        <v>1665</v>
      </c>
      <c r="G366" s="11">
        <v>6.0</v>
      </c>
      <c r="H366" s="11" t="s">
        <v>1705</v>
      </c>
      <c r="I366" s="11">
        <v>2.0</v>
      </c>
      <c r="J366" s="11" t="s">
        <v>1671</v>
      </c>
      <c r="K366" s="11">
        <v>3.0</v>
      </c>
      <c r="L366" s="11" t="s">
        <v>213</v>
      </c>
      <c r="M366" s="11">
        <v>2.0</v>
      </c>
    </row>
    <row r="367">
      <c r="A367" s="11" t="s">
        <v>642</v>
      </c>
      <c r="B367" s="11" t="s">
        <v>1747</v>
      </c>
      <c r="C367" s="11" t="s">
        <v>1878</v>
      </c>
      <c r="D367" s="11">
        <v>100.0</v>
      </c>
      <c r="E367" s="55" t="s">
        <v>1905</v>
      </c>
      <c r="F367" s="11" t="s">
        <v>1665</v>
      </c>
      <c r="G367" s="11">
        <v>6.0</v>
      </c>
      <c r="H367" s="11" t="s">
        <v>1639</v>
      </c>
      <c r="I367" s="11">
        <v>2.0</v>
      </c>
      <c r="J367" s="11" t="s">
        <v>1681</v>
      </c>
      <c r="K367" s="11">
        <v>5.0</v>
      </c>
      <c r="L367" s="11" t="s">
        <v>213</v>
      </c>
      <c r="M367" s="11">
        <v>3.0</v>
      </c>
    </row>
    <row r="368">
      <c r="A368" s="11" t="s">
        <v>1906</v>
      </c>
      <c r="B368" s="11" t="s">
        <v>197</v>
      </c>
      <c r="C368" s="11" t="s">
        <v>1737</v>
      </c>
      <c r="D368" s="11">
        <v>100.0</v>
      </c>
      <c r="E368" s="11" t="s">
        <v>1907</v>
      </c>
      <c r="F368" s="11" t="s">
        <v>1665</v>
      </c>
      <c r="G368" s="11">
        <v>3.0</v>
      </c>
      <c r="H368" s="11" t="s">
        <v>1630</v>
      </c>
      <c r="I368" s="11">
        <v>5.0</v>
      </c>
    </row>
    <row r="369">
      <c r="A369" s="11" t="s">
        <v>1908</v>
      </c>
      <c r="B369" s="11" t="s">
        <v>197</v>
      </c>
      <c r="C369" s="11" t="s">
        <v>1737</v>
      </c>
      <c r="D369" s="11">
        <v>50.0</v>
      </c>
      <c r="E369" s="11" t="s">
        <v>1909</v>
      </c>
      <c r="F369" s="11" t="s">
        <v>1665</v>
      </c>
      <c r="G369" s="11">
        <v>3.0</v>
      </c>
      <c r="H369" s="11" t="s">
        <v>1630</v>
      </c>
      <c r="I369" s="11">
        <v>5.0</v>
      </c>
    </row>
    <row r="370">
      <c r="A370" s="11" t="s">
        <v>466</v>
      </c>
      <c r="B370" s="11" t="s">
        <v>1747</v>
      </c>
      <c r="C370" s="11" t="s">
        <v>1737</v>
      </c>
      <c r="D370" s="11">
        <v>100.0</v>
      </c>
      <c r="E370" s="55" t="s">
        <v>1910</v>
      </c>
      <c r="F370" s="11" t="s">
        <v>1665</v>
      </c>
      <c r="G370" s="11">
        <v>5.0</v>
      </c>
      <c r="H370" s="11" t="s">
        <v>1705</v>
      </c>
      <c r="I370" s="11">
        <v>1.0</v>
      </c>
    </row>
    <row r="371">
      <c r="A371" s="11" t="s">
        <v>1911</v>
      </c>
      <c r="B371" s="11" t="s">
        <v>1747</v>
      </c>
      <c r="C371" s="11" t="s">
        <v>1737</v>
      </c>
      <c r="D371" s="11">
        <v>800.0</v>
      </c>
      <c r="E371" s="11" t="s">
        <v>1912</v>
      </c>
      <c r="F371" s="11" t="s">
        <v>1690</v>
      </c>
      <c r="G371" s="11">
        <v>8.0</v>
      </c>
    </row>
    <row r="372">
      <c r="A372" s="11" t="s">
        <v>1913</v>
      </c>
      <c r="B372" s="11" t="s">
        <v>1747</v>
      </c>
      <c r="C372" s="11" t="s">
        <v>1737</v>
      </c>
      <c r="D372" s="11">
        <v>2160.0</v>
      </c>
      <c r="E372" s="11" t="s">
        <v>1912</v>
      </c>
      <c r="F372" s="11" t="s">
        <v>1674</v>
      </c>
      <c r="G372" s="11">
        <v>8.0</v>
      </c>
      <c r="H372" s="11" t="s">
        <v>1675</v>
      </c>
      <c r="I372" s="11">
        <v>3.0</v>
      </c>
    </row>
    <row r="373">
      <c r="A373" s="11" t="s">
        <v>1914</v>
      </c>
      <c r="B373" s="11" t="s">
        <v>1747</v>
      </c>
      <c r="C373" s="11" t="s">
        <v>1737</v>
      </c>
      <c r="D373" s="11">
        <v>800.0</v>
      </c>
      <c r="E373" s="11" t="s">
        <v>1912</v>
      </c>
      <c r="F373" s="11" t="s">
        <v>1690</v>
      </c>
      <c r="G373" s="11">
        <v>10.0</v>
      </c>
    </row>
    <row r="374">
      <c r="A374" s="11" t="s">
        <v>1915</v>
      </c>
      <c r="B374" s="11" t="s">
        <v>1747</v>
      </c>
      <c r="C374" s="11" t="s">
        <v>1737</v>
      </c>
      <c r="D374" s="11">
        <v>2160.0</v>
      </c>
      <c r="E374" s="11" t="s">
        <v>1912</v>
      </c>
      <c r="F374" s="11" t="s">
        <v>1674</v>
      </c>
      <c r="G374" s="11">
        <v>10.0</v>
      </c>
      <c r="H374" s="11" t="s">
        <v>1675</v>
      </c>
      <c r="I374" s="11">
        <v>4.0</v>
      </c>
    </row>
    <row r="375">
      <c r="A375" s="11" t="s">
        <v>1916</v>
      </c>
      <c r="B375" s="11" t="s">
        <v>1747</v>
      </c>
      <c r="C375" s="11" t="s">
        <v>1737</v>
      </c>
      <c r="D375" s="11">
        <v>200.0</v>
      </c>
      <c r="E375" s="11" t="s">
        <v>1912</v>
      </c>
      <c r="F375" s="11" t="s">
        <v>1690</v>
      </c>
      <c r="G375" s="11">
        <v>3.0</v>
      </c>
    </row>
    <row r="376">
      <c r="A376" s="11" t="s">
        <v>1917</v>
      </c>
      <c r="B376" s="11" t="s">
        <v>1747</v>
      </c>
      <c r="C376" s="11" t="s">
        <v>1737</v>
      </c>
      <c r="D376" s="11">
        <v>500.0</v>
      </c>
      <c r="E376" s="11" t="s">
        <v>1912</v>
      </c>
      <c r="F376" s="11" t="s">
        <v>1674</v>
      </c>
      <c r="G376" s="11">
        <v>3.0</v>
      </c>
      <c r="H376" s="11" t="s">
        <v>1675</v>
      </c>
      <c r="I376" s="11">
        <v>1.0</v>
      </c>
    </row>
    <row r="377">
      <c r="A377" s="11" t="s">
        <v>1918</v>
      </c>
      <c r="B377" s="11" t="s">
        <v>1747</v>
      </c>
      <c r="C377" s="11" t="s">
        <v>1737</v>
      </c>
      <c r="D377" s="11">
        <v>200.0</v>
      </c>
      <c r="E377" s="11" t="s">
        <v>1912</v>
      </c>
      <c r="F377" s="11" t="s">
        <v>1690</v>
      </c>
      <c r="G377" s="11">
        <v>2.0</v>
      </c>
    </row>
    <row r="378">
      <c r="A378" s="11" t="s">
        <v>1919</v>
      </c>
      <c r="B378" s="11" t="s">
        <v>1747</v>
      </c>
      <c r="C378" s="11" t="s">
        <v>1737</v>
      </c>
      <c r="D378" s="11">
        <v>500.0</v>
      </c>
      <c r="E378" s="11" t="s">
        <v>1912</v>
      </c>
      <c r="F378" s="11" t="s">
        <v>1674</v>
      </c>
      <c r="G378" s="11">
        <v>4.0</v>
      </c>
      <c r="H378" s="11" t="s">
        <v>1675</v>
      </c>
      <c r="I378" s="11">
        <v>2.0</v>
      </c>
    </row>
    <row r="379">
      <c r="A379" s="11" t="s">
        <v>1920</v>
      </c>
      <c r="B379" s="11" t="s">
        <v>1747</v>
      </c>
      <c r="C379" s="11" t="s">
        <v>1737</v>
      </c>
      <c r="D379" s="11">
        <v>200.0</v>
      </c>
      <c r="E379" s="11" t="s">
        <v>1912</v>
      </c>
      <c r="F379" s="11" t="s">
        <v>1690</v>
      </c>
      <c r="G379" s="11">
        <v>2.0</v>
      </c>
    </row>
    <row r="380">
      <c r="A380" s="11" t="s">
        <v>1921</v>
      </c>
      <c r="B380" s="11" t="s">
        <v>1747</v>
      </c>
      <c r="C380" s="11" t="s">
        <v>1737</v>
      </c>
      <c r="D380" s="11">
        <v>500.0</v>
      </c>
      <c r="E380" s="11" t="s">
        <v>1912</v>
      </c>
      <c r="F380" s="11" t="s">
        <v>1674</v>
      </c>
      <c r="G380" s="11">
        <v>4.0</v>
      </c>
      <c r="H380" s="11" t="s">
        <v>1675</v>
      </c>
      <c r="I380" s="11">
        <v>2.0</v>
      </c>
    </row>
    <row r="381">
      <c r="A381" s="11" t="s">
        <v>1922</v>
      </c>
      <c r="B381" s="11" t="s">
        <v>1747</v>
      </c>
      <c r="C381" s="11" t="s">
        <v>1737</v>
      </c>
      <c r="D381" s="11">
        <v>240.0</v>
      </c>
      <c r="E381" s="11" t="s">
        <v>1912</v>
      </c>
      <c r="F381" s="11" t="s">
        <v>1690</v>
      </c>
      <c r="G381" s="11">
        <v>10.0</v>
      </c>
    </row>
    <row r="382">
      <c r="A382" s="11" t="s">
        <v>1923</v>
      </c>
      <c r="B382" s="11" t="s">
        <v>1747</v>
      </c>
      <c r="C382" s="11" t="s">
        <v>1737</v>
      </c>
      <c r="D382" s="11">
        <v>800.0</v>
      </c>
      <c r="E382" s="11" t="s">
        <v>1912</v>
      </c>
      <c r="F382" s="11" t="s">
        <v>1674</v>
      </c>
      <c r="G382" s="11">
        <v>8.0</v>
      </c>
      <c r="H382" s="11" t="s">
        <v>1675</v>
      </c>
      <c r="I382" s="11">
        <v>3.0</v>
      </c>
    </row>
    <row r="383">
      <c r="A383" s="11" t="s">
        <v>1924</v>
      </c>
      <c r="B383" s="11" t="s">
        <v>1747</v>
      </c>
      <c r="C383" s="11" t="s">
        <v>1737</v>
      </c>
      <c r="D383" s="11">
        <v>800.0</v>
      </c>
      <c r="E383" s="11" t="s">
        <v>1912</v>
      </c>
      <c r="F383" s="11" t="s">
        <v>1690</v>
      </c>
      <c r="G383" s="11">
        <v>4.0</v>
      </c>
    </row>
    <row r="384">
      <c r="A384" s="11" t="s">
        <v>1925</v>
      </c>
      <c r="B384" s="11" t="s">
        <v>1747</v>
      </c>
      <c r="C384" s="11" t="s">
        <v>1737</v>
      </c>
      <c r="D384" s="11">
        <v>2160.0</v>
      </c>
      <c r="E384" s="11" t="s">
        <v>1912</v>
      </c>
      <c r="F384" s="11" t="s">
        <v>1674</v>
      </c>
      <c r="G384" s="11">
        <v>5.0</v>
      </c>
      <c r="H384" s="11" t="s">
        <v>1675</v>
      </c>
      <c r="I384" s="11">
        <v>2.0</v>
      </c>
    </row>
    <row r="385">
      <c r="A385" s="11" t="s">
        <v>1926</v>
      </c>
      <c r="B385" s="11" t="s">
        <v>1747</v>
      </c>
      <c r="C385" s="11" t="s">
        <v>1737</v>
      </c>
      <c r="D385" s="11">
        <v>400.0</v>
      </c>
      <c r="E385" s="11" t="s">
        <v>1912</v>
      </c>
      <c r="F385" s="11" t="s">
        <v>1690</v>
      </c>
      <c r="G385" s="11">
        <v>3.0</v>
      </c>
    </row>
    <row r="386">
      <c r="A386" s="11" t="s">
        <v>1927</v>
      </c>
      <c r="B386" s="11" t="s">
        <v>1747</v>
      </c>
      <c r="C386" s="11" t="s">
        <v>1737</v>
      </c>
      <c r="D386" s="11">
        <v>600.0</v>
      </c>
      <c r="E386" s="11" t="s">
        <v>1912</v>
      </c>
      <c r="F386" s="11" t="s">
        <v>1674</v>
      </c>
      <c r="G386" s="11">
        <v>3.0</v>
      </c>
      <c r="H386" s="11" t="s">
        <v>1675</v>
      </c>
      <c r="I386" s="11">
        <v>1.0</v>
      </c>
    </row>
    <row r="387">
      <c r="A387" s="11" t="s">
        <v>534</v>
      </c>
      <c r="B387" s="11" t="s">
        <v>1747</v>
      </c>
      <c r="C387" s="11" t="s">
        <v>1737</v>
      </c>
      <c r="D387" s="11">
        <v>250.0</v>
      </c>
      <c r="E387" s="55" t="s">
        <v>1928</v>
      </c>
      <c r="F387" s="11" t="s">
        <v>1665</v>
      </c>
      <c r="G387" s="11">
        <v>35.0</v>
      </c>
      <c r="H387" s="11" t="s">
        <v>1631</v>
      </c>
      <c r="I387" s="11">
        <v>10.0</v>
      </c>
      <c r="J387" s="11" t="s">
        <v>1704</v>
      </c>
      <c r="K387" s="11">
        <v>10.0</v>
      </c>
    </row>
    <row r="388">
      <c r="A388" s="11" t="s">
        <v>536</v>
      </c>
      <c r="B388" s="11" t="s">
        <v>1747</v>
      </c>
      <c r="C388" s="11" t="s">
        <v>1737</v>
      </c>
      <c r="D388" s="11">
        <v>2048.0</v>
      </c>
      <c r="E388" s="55" t="s">
        <v>1929</v>
      </c>
      <c r="F388" s="11" t="s">
        <v>1674</v>
      </c>
      <c r="G388" s="11">
        <v>15.0</v>
      </c>
      <c r="H388" s="11" t="s">
        <v>1690</v>
      </c>
      <c r="I388" s="11">
        <v>30.0</v>
      </c>
      <c r="J388" s="11" t="s">
        <v>1675</v>
      </c>
      <c r="K388" s="11">
        <v>10.0</v>
      </c>
    </row>
    <row r="389">
      <c r="A389" s="11" t="s">
        <v>538</v>
      </c>
      <c r="B389" s="11" t="s">
        <v>1747</v>
      </c>
      <c r="C389" s="11" t="s">
        <v>1737</v>
      </c>
      <c r="D389" s="11">
        <v>2880.0</v>
      </c>
      <c r="E389" s="55" t="s">
        <v>1928</v>
      </c>
      <c r="F389" s="11" t="s">
        <v>1674</v>
      </c>
      <c r="G389" s="11">
        <v>50.0</v>
      </c>
      <c r="H389" s="11" t="s">
        <v>1705</v>
      </c>
      <c r="I389" s="11">
        <v>25.0</v>
      </c>
      <c r="J389" s="11" t="s">
        <v>1690</v>
      </c>
      <c r="K389" s="11">
        <v>50.0</v>
      </c>
      <c r="L389" s="11" t="s">
        <v>1675</v>
      </c>
      <c r="M389" s="11">
        <v>50.0</v>
      </c>
      <c r="N389" s="11" t="s">
        <v>1630</v>
      </c>
      <c r="O389" s="11">
        <v>20.0</v>
      </c>
      <c r="P389" s="11" t="s">
        <v>1651</v>
      </c>
      <c r="Q389" s="11">
        <v>20.0</v>
      </c>
      <c r="R389" s="11" t="s">
        <v>1652</v>
      </c>
      <c r="S389" s="11">
        <v>20.0</v>
      </c>
    </row>
    <row r="390">
      <c r="A390" s="11" t="s">
        <v>1930</v>
      </c>
      <c r="B390" s="11" t="s">
        <v>1747</v>
      </c>
      <c r="C390" s="11" t="s">
        <v>1737</v>
      </c>
      <c r="D390" s="11">
        <v>75.0</v>
      </c>
      <c r="E390" s="11" t="s">
        <v>1912</v>
      </c>
      <c r="F390" s="11" t="s">
        <v>1690</v>
      </c>
      <c r="G390" s="11">
        <v>2.0</v>
      </c>
    </row>
    <row r="391">
      <c r="A391" s="11" t="s">
        <v>1931</v>
      </c>
      <c r="B391" s="11" t="s">
        <v>1747</v>
      </c>
      <c r="C391" s="11" t="s">
        <v>1737</v>
      </c>
      <c r="D391" s="11">
        <v>100.0</v>
      </c>
      <c r="E391" s="11" t="s">
        <v>1912</v>
      </c>
      <c r="F391" s="11" t="s">
        <v>1674</v>
      </c>
      <c r="G391" s="11">
        <v>2.0</v>
      </c>
      <c r="H391" s="11" t="s">
        <v>1675</v>
      </c>
      <c r="I391" s="11">
        <v>1.0</v>
      </c>
    </row>
    <row r="392">
      <c r="A392" s="11" t="s">
        <v>1932</v>
      </c>
      <c r="B392" s="11" t="s">
        <v>1747</v>
      </c>
      <c r="C392" s="11" t="s">
        <v>1737</v>
      </c>
      <c r="D392" s="11">
        <v>150.0</v>
      </c>
      <c r="E392" s="11" t="s">
        <v>1912</v>
      </c>
      <c r="F392" s="11" t="s">
        <v>1690</v>
      </c>
      <c r="G392" s="11">
        <v>2.0</v>
      </c>
    </row>
    <row r="393">
      <c r="A393" s="11" t="s">
        <v>1933</v>
      </c>
      <c r="B393" s="11" t="s">
        <v>1747</v>
      </c>
      <c r="C393" s="11" t="s">
        <v>1737</v>
      </c>
      <c r="D393" s="11">
        <v>400.0</v>
      </c>
      <c r="E393" s="11" t="s">
        <v>1912</v>
      </c>
      <c r="F393" s="11" t="s">
        <v>1674</v>
      </c>
      <c r="G393" s="11">
        <v>2.0</v>
      </c>
      <c r="H393" s="11" t="s">
        <v>1675</v>
      </c>
      <c r="I393" s="11">
        <v>1.0</v>
      </c>
    </row>
    <row r="394">
      <c r="A394" s="11" t="s">
        <v>1934</v>
      </c>
      <c r="B394" s="11" t="s">
        <v>1747</v>
      </c>
      <c r="C394" s="11" t="s">
        <v>1737</v>
      </c>
      <c r="D394" s="11">
        <v>150.0</v>
      </c>
      <c r="E394" s="11" t="s">
        <v>1912</v>
      </c>
      <c r="F394" s="11" t="s">
        <v>1690</v>
      </c>
      <c r="G394" s="11">
        <v>2.0</v>
      </c>
    </row>
    <row r="395">
      <c r="A395" s="11" t="s">
        <v>1935</v>
      </c>
      <c r="B395" s="11" t="s">
        <v>1747</v>
      </c>
      <c r="C395" s="11" t="s">
        <v>1737</v>
      </c>
      <c r="D395" s="11">
        <v>400.0</v>
      </c>
      <c r="E395" s="11" t="s">
        <v>1912</v>
      </c>
      <c r="F395" s="11" t="s">
        <v>1674</v>
      </c>
      <c r="G395" s="11">
        <v>2.0</v>
      </c>
      <c r="H395" s="11" t="s">
        <v>1675</v>
      </c>
      <c r="I395" s="11">
        <v>1.0</v>
      </c>
    </row>
    <row r="396">
      <c r="A396" s="11" t="s">
        <v>1936</v>
      </c>
      <c r="B396" s="11" t="s">
        <v>1747</v>
      </c>
      <c r="C396" s="11" t="s">
        <v>1737</v>
      </c>
      <c r="D396" s="11">
        <v>150.0</v>
      </c>
      <c r="E396" s="11" t="s">
        <v>1912</v>
      </c>
      <c r="F396" s="11" t="s">
        <v>1690</v>
      </c>
      <c r="G396" s="11">
        <v>2.0</v>
      </c>
    </row>
    <row r="397">
      <c r="A397" s="11" t="s">
        <v>1937</v>
      </c>
      <c r="B397" s="11" t="s">
        <v>1747</v>
      </c>
      <c r="C397" s="11" t="s">
        <v>1737</v>
      </c>
      <c r="D397" s="11">
        <v>400.0</v>
      </c>
      <c r="E397" s="11" t="s">
        <v>1912</v>
      </c>
      <c r="F397" s="11" t="s">
        <v>1674</v>
      </c>
      <c r="G397" s="11">
        <v>2.0</v>
      </c>
      <c r="H397" s="11" t="s">
        <v>1675</v>
      </c>
      <c r="I397" s="11">
        <v>1.0</v>
      </c>
    </row>
    <row r="398">
      <c r="A398" s="11" t="s">
        <v>1938</v>
      </c>
      <c r="B398" s="11" t="s">
        <v>197</v>
      </c>
      <c r="C398" s="11" t="s">
        <v>1737</v>
      </c>
      <c r="D398" s="11">
        <v>50.0</v>
      </c>
      <c r="E398" s="40" t="s">
        <v>1939</v>
      </c>
    </row>
    <row r="399">
      <c r="A399" s="11" t="s">
        <v>1940</v>
      </c>
      <c r="B399" s="11" t="s">
        <v>1747</v>
      </c>
      <c r="C399" s="11" t="s">
        <v>1737</v>
      </c>
      <c r="D399" s="11">
        <v>125.0</v>
      </c>
      <c r="E399" s="40" t="s">
        <v>1939</v>
      </c>
      <c r="F399" s="11" t="s">
        <v>1674</v>
      </c>
      <c r="G399" s="11">
        <v>1.0</v>
      </c>
    </row>
    <row r="400">
      <c r="A400" s="11" t="s">
        <v>1941</v>
      </c>
      <c r="B400" s="11" t="s">
        <v>197</v>
      </c>
      <c r="C400" s="11" t="s">
        <v>1737</v>
      </c>
      <c r="D400" s="11">
        <v>100.0</v>
      </c>
      <c r="E400" s="11" t="s">
        <v>1942</v>
      </c>
    </row>
    <row r="401">
      <c r="A401" s="11" t="s">
        <v>1943</v>
      </c>
      <c r="B401" s="11" t="s">
        <v>1747</v>
      </c>
      <c r="C401" s="11" t="s">
        <v>1737</v>
      </c>
      <c r="D401" s="11">
        <v>250.0</v>
      </c>
      <c r="E401" s="11" t="s">
        <v>1942</v>
      </c>
      <c r="F401" s="11" t="s">
        <v>1674</v>
      </c>
      <c r="G401" s="11">
        <v>1.0</v>
      </c>
    </row>
    <row r="402">
      <c r="A402" s="11" t="s">
        <v>1944</v>
      </c>
      <c r="B402" s="11" t="s">
        <v>197</v>
      </c>
      <c r="C402" s="11" t="s">
        <v>1737</v>
      </c>
      <c r="D402" s="11">
        <v>100.0</v>
      </c>
      <c r="E402" s="11" t="s">
        <v>1945</v>
      </c>
    </row>
    <row r="403">
      <c r="A403" s="11" t="s">
        <v>1946</v>
      </c>
      <c r="B403" s="11" t="s">
        <v>1747</v>
      </c>
      <c r="C403" s="11" t="s">
        <v>1737</v>
      </c>
      <c r="D403" s="11">
        <v>250.0</v>
      </c>
      <c r="E403" s="11" t="s">
        <v>1945</v>
      </c>
      <c r="F403" s="11" t="s">
        <v>1674</v>
      </c>
      <c r="G403" s="11">
        <v>1.0</v>
      </c>
    </row>
    <row r="404">
      <c r="A404" s="11" t="s">
        <v>1947</v>
      </c>
      <c r="B404" s="11" t="s">
        <v>197</v>
      </c>
      <c r="C404" s="11" t="s">
        <v>1737</v>
      </c>
      <c r="D404" s="11">
        <v>50.0</v>
      </c>
      <c r="E404" s="11" t="s">
        <v>1948</v>
      </c>
    </row>
    <row r="405">
      <c r="A405" s="11" t="s">
        <v>1949</v>
      </c>
      <c r="B405" s="11" t="s">
        <v>1747</v>
      </c>
      <c r="C405" s="11" t="s">
        <v>1737</v>
      </c>
      <c r="D405" s="11">
        <v>125.0</v>
      </c>
      <c r="E405" s="11" t="s">
        <v>1948</v>
      </c>
      <c r="F405" s="11" t="s">
        <v>1674</v>
      </c>
      <c r="G405" s="11">
        <v>1.0</v>
      </c>
    </row>
    <row r="406">
      <c r="A406" s="11" t="s">
        <v>1950</v>
      </c>
      <c r="B406" s="11" t="s">
        <v>197</v>
      </c>
      <c r="C406" s="11" t="s">
        <v>1737</v>
      </c>
      <c r="D406" s="11">
        <v>100.0</v>
      </c>
      <c r="E406" s="11" t="s">
        <v>1951</v>
      </c>
    </row>
    <row r="407">
      <c r="A407" s="11" t="s">
        <v>1952</v>
      </c>
      <c r="B407" s="11" t="s">
        <v>1747</v>
      </c>
      <c r="C407" s="11" t="s">
        <v>1737</v>
      </c>
      <c r="D407" s="11">
        <v>250.0</v>
      </c>
      <c r="E407" s="11" t="s">
        <v>1951</v>
      </c>
      <c r="F407" s="11" t="s">
        <v>1674</v>
      </c>
      <c r="G407" s="11">
        <v>1.0</v>
      </c>
    </row>
    <row r="408">
      <c r="A408" s="11" t="s">
        <v>632</v>
      </c>
      <c r="C408" s="11" t="s">
        <v>1736</v>
      </c>
      <c r="D408" s="11">
        <v>100.0</v>
      </c>
      <c r="E408" s="11" t="s">
        <v>1953</v>
      </c>
    </row>
    <row r="409">
      <c r="A409" s="11" t="s">
        <v>1682</v>
      </c>
      <c r="C409" s="11" t="s">
        <v>1736</v>
      </c>
      <c r="D409" s="11">
        <v>300.0</v>
      </c>
      <c r="E409" s="40" t="s">
        <v>1954</v>
      </c>
    </row>
    <row r="410">
      <c r="A410" s="11" t="s">
        <v>634</v>
      </c>
      <c r="C410" s="11" t="s">
        <v>1736</v>
      </c>
      <c r="D410" s="11">
        <v>300.0</v>
      </c>
      <c r="E410" s="55" t="s">
        <v>1955</v>
      </c>
    </row>
    <row r="411">
      <c r="A411" s="11" t="s">
        <v>1956</v>
      </c>
      <c r="B411" s="11" t="s">
        <v>1747</v>
      </c>
      <c r="C411" s="11" t="s">
        <v>1737</v>
      </c>
      <c r="D411" s="11">
        <v>100.0</v>
      </c>
      <c r="E411" s="11" t="s">
        <v>1912</v>
      </c>
      <c r="F411" s="11" t="s">
        <v>1690</v>
      </c>
      <c r="G411" s="11">
        <v>3.0</v>
      </c>
    </row>
    <row r="412">
      <c r="A412" s="11" t="s">
        <v>1957</v>
      </c>
      <c r="B412" s="11" t="s">
        <v>1747</v>
      </c>
      <c r="C412" s="11" t="s">
        <v>1737</v>
      </c>
      <c r="D412" s="11">
        <v>400.0</v>
      </c>
      <c r="E412" s="11" t="s">
        <v>1912</v>
      </c>
      <c r="F412" s="11" t="s">
        <v>1674</v>
      </c>
      <c r="G412" s="11">
        <v>4.0</v>
      </c>
      <c r="H412" s="11" t="s">
        <v>1675</v>
      </c>
      <c r="I412" s="11">
        <v>2.0</v>
      </c>
    </row>
    <row r="413">
      <c r="A413" s="11" t="s">
        <v>1958</v>
      </c>
      <c r="B413" s="11" t="s">
        <v>1747</v>
      </c>
      <c r="C413" s="11" t="s">
        <v>1737</v>
      </c>
      <c r="D413" s="11">
        <v>100.0</v>
      </c>
      <c r="E413" s="11" t="s">
        <v>1912</v>
      </c>
      <c r="F413" s="11" t="s">
        <v>1690</v>
      </c>
      <c r="G413" s="11">
        <v>3.0</v>
      </c>
    </row>
    <row r="414">
      <c r="A414" s="11" t="s">
        <v>1959</v>
      </c>
      <c r="B414" s="11" t="s">
        <v>1747</v>
      </c>
      <c r="C414" s="11" t="s">
        <v>1737</v>
      </c>
      <c r="D414" s="11">
        <v>400.0</v>
      </c>
      <c r="E414" s="11" t="s">
        <v>1912</v>
      </c>
      <c r="F414" s="11" t="s">
        <v>1674</v>
      </c>
      <c r="G414" s="11">
        <v>4.0</v>
      </c>
      <c r="H414" s="11" t="s">
        <v>1675</v>
      </c>
      <c r="I414" s="11">
        <v>2.0</v>
      </c>
    </row>
    <row r="415">
      <c r="A415" s="11" t="s">
        <v>1960</v>
      </c>
      <c r="B415" s="11" t="s">
        <v>1747</v>
      </c>
      <c r="C415" s="11" t="s">
        <v>1737</v>
      </c>
      <c r="D415" s="11">
        <v>100.0</v>
      </c>
      <c r="E415" s="11" t="s">
        <v>1912</v>
      </c>
      <c r="F415" s="11" t="s">
        <v>1690</v>
      </c>
      <c r="G415" s="11">
        <v>3.0</v>
      </c>
    </row>
    <row r="416">
      <c r="A416" s="11" t="s">
        <v>1961</v>
      </c>
      <c r="B416" s="11" t="s">
        <v>1747</v>
      </c>
      <c r="C416" s="11" t="s">
        <v>1737</v>
      </c>
      <c r="D416" s="11">
        <v>400.0</v>
      </c>
      <c r="E416" s="11" t="s">
        <v>1912</v>
      </c>
      <c r="F416" s="11" t="s">
        <v>1674</v>
      </c>
      <c r="G416" s="11">
        <v>4.0</v>
      </c>
      <c r="H416" s="11" t="s">
        <v>1675</v>
      </c>
      <c r="I416" s="11">
        <v>2.0</v>
      </c>
    </row>
    <row r="417">
      <c r="A417" s="11" t="s">
        <v>1962</v>
      </c>
      <c r="B417" s="11" t="s">
        <v>1747</v>
      </c>
      <c r="C417" s="11" t="s">
        <v>1737</v>
      </c>
      <c r="D417" s="11">
        <v>100.0</v>
      </c>
      <c r="E417" s="11" t="s">
        <v>1912</v>
      </c>
      <c r="F417" s="11" t="s">
        <v>1690</v>
      </c>
      <c r="G417" s="11">
        <v>2.0</v>
      </c>
    </row>
    <row r="418">
      <c r="A418" s="11" t="s">
        <v>1963</v>
      </c>
      <c r="B418" s="11" t="s">
        <v>1747</v>
      </c>
      <c r="C418" s="11" t="s">
        <v>1737</v>
      </c>
      <c r="D418" s="11">
        <v>400.0</v>
      </c>
      <c r="E418" s="11" t="s">
        <v>1912</v>
      </c>
      <c r="F418" s="11" t="s">
        <v>1674</v>
      </c>
      <c r="G418" s="11">
        <v>4.0</v>
      </c>
      <c r="H418" s="11" t="s">
        <v>1675</v>
      </c>
      <c r="I418" s="11">
        <v>2.0</v>
      </c>
    </row>
    <row r="419">
      <c r="A419" s="11" t="s">
        <v>1964</v>
      </c>
      <c r="B419" s="11" t="s">
        <v>1747</v>
      </c>
      <c r="C419" s="11" t="s">
        <v>1737</v>
      </c>
      <c r="D419" s="11">
        <v>100.0</v>
      </c>
      <c r="E419" s="11" t="s">
        <v>1912</v>
      </c>
      <c r="F419" s="11" t="s">
        <v>1690</v>
      </c>
      <c r="G419" s="11">
        <v>3.0</v>
      </c>
    </row>
    <row r="420">
      <c r="A420" s="11" t="s">
        <v>1965</v>
      </c>
      <c r="B420" s="11" t="s">
        <v>1747</v>
      </c>
      <c r="C420" s="11" t="s">
        <v>1737</v>
      </c>
      <c r="D420" s="11">
        <v>400.0</v>
      </c>
      <c r="E420" s="11" t="s">
        <v>1912</v>
      </c>
      <c r="F420" s="11" t="s">
        <v>1674</v>
      </c>
      <c r="G420" s="11">
        <v>4.0</v>
      </c>
      <c r="H420" s="11" t="s">
        <v>1675</v>
      </c>
      <c r="I420" s="11">
        <v>2.0</v>
      </c>
    </row>
    <row r="421">
      <c r="A421" s="11" t="s">
        <v>1966</v>
      </c>
      <c r="B421" s="11" t="s">
        <v>1747</v>
      </c>
      <c r="C421" s="11" t="s">
        <v>1737</v>
      </c>
      <c r="D421" s="11">
        <v>75.0</v>
      </c>
      <c r="E421" s="11" t="s">
        <v>1912</v>
      </c>
      <c r="F421" s="11" t="s">
        <v>1690</v>
      </c>
      <c r="G421" s="11">
        <v>2.0</v>
      </c>
    </row>
    <row r="422">
      <c r="A422" s="11" t="s">
        <v>1967</v>
      </c>
      <c r="B422" s="11" t="s">
        <v>1747</v>
      </c>
      <c r="C422" s="11" t="s">
        <v>1737</v>
      </c>
      <c r="D422" s="11">
        <v>150.0</v>
      </c>
      <c r="E422" s="11" t="s">
        <v>1912</v>
      </c>
      <c r="F422" s="11" t="s">
        <v>1674</v>
      </c>
      <c r="G422" s="11">
        <v>3.0</v>
      </c>
      <c r="H422" s="11" t="s">
        <v>1675</v>
      </c>
      <c r="I422" s="11">
        <v>1.0</v>
      </c>
    </row>
    <row r="423">
      <c r="A423" s="11" t="s">
        <v>1968</v>
      </c>
      <c r="B423" s="11" t="s">
        <v>1747</v>
      </c>
      <c r="C423" s="11" t="s">
        <v>1737</v>
      </c>
      <c r="D423" s="11">
        <v>75.0</v>
      </c>
      <c r="E423" s="11" t="s">
        <v>1912</v>
      </c>
      <c r="F423" s="11" t="s">
        <v>1690</v>
      </c>
      <c r="G423" s="11">
        <v>2.0</v>
      </c>
    </row>
    <row r="424">
      <c r="A424" s="11" t="s">
        <v>1969</v>
      </c>
      <c r="B424" s="11" t="s">
        <v>1747</v>
      </c>
      <c r="C424" s="11" t="s">
        <v>1737</v>
      </c>
      <c r="D424" s="11">
        <v>150.0</v>
      </c>
      <c r="E424" s="11" t="s">
        <v>1912</v>
      </c>
      <c r="F424" s="11" t="s">
        <v>1674</v>
      </c>
      <c r="G424" s="11">
        <v>3.0</v>
      </c>
      <c r="H424" s="11" t="s">
        <v>1675</v>
      </c>
      <c r="I424" s="11">
        <v>1.0</v>
      </c>
    </row>
    <row r="425">
      <c r="A425" s="11" t="s">
        <v>1970</v>
      </c>
      <c r="B425" s="11" t="s">
        <v>1747</v>
      </c>
      <c r="C425" s="11" t="s">
        <v>1737</v>
      </c>
      <c r="D425" s="11">
        <v>100.0</v>
      </c>
      <c r="E425" s="11" t="s">
        <v>1912</v>
      </c>
      <c r="F425" s="11" t="s">
        <v>1690</v>
      </c>
      <c r="G425" s="11">
        <v>3.0</v>
      </c>
    </row>
    <row r="426">
      <c r="A426" s="11" t="s">
        <v>1971</v>
      </c>
      <c r="B426" s="11" t="s">
        <v>1747</v>
      </c>
      <c r="C426" s="11" t="s">
        <v>1737</v>
      </c>
      <c r="D426" s="11">
        <v>400.0</v>
      </c>
      <c r="E426" s="11" t="s">
        <v>1912</v>
      </c>
      <c r="F426" s="11" t="s">
        <v>1674</v>
      </c>
      <c r="G426" s="11">
        <v>4.0</v>
      </c>
      <c r="H426" s="11" t="s">
        <v>1675</v>
      </c>
      <c r="I426" s="11">
        <v>2.0</v>
      </c>
    </row>
    <row r="427">
      <c r="A427" s="11" t="s">
        <v>1972</v>
      </c>
      <c r="B427" s="11" t="s">
        <v>1747</v>
      </c>
      <c r="C427" s="11" t="s">
        <v>1737</v>
      </c>
      <c r="D427" s="11">
        <v>100.0</v>
      </c>
      <c r="E427" s="11" t="s">
        <v>1912</v>
      </c>
      <c r="F427" s="11" t="s">
        <v>1690</v>
      </c>
      <c r="G427" s="11">
        <v>3.0</v>
      </c>
    </row>
    <row r="428">
      <c r="A428" s="11" t="s">
        <v>1973</v>
      </c>
      <c r="B428" s="11" t="s">
        <v>1747</v>
      </c>
      <c r="C428" s="11" t="s">
        <v>1737</v>
      </c>
      <c r="D428" s="11">
        <v>400.0</v>
      </c>
      <c r="E428" s="11" t="s">
        <v>1912</v>
      </c>
      <c r="F428" s="11" t="s">
        <v>1674</v>
      </c>
      <c r="G428" s="11">
        <v>4.0</v>
      </c>
      <c r="H428" s="11" t="s">
        <v>1675</v>
      </c>
      <c r="I428" s="11">
        <v>2.0</v>
      </c>
    </row>
    <row r="429">
      <c r="A429" s="11" t="s">
        <v>1974</v>
      </c>
      <c r="B429" s="11" t="s">
        <v>1747</v>
      </c>
      <c r="C429" s="11" t="s">
        <v>1737</v>
      </c>
      <c r="D429" s="11">
        <v>100.0</v>
      </c>
      <c r="E429" s="11" t="s">
        <v>1912</v>
      </c>
      <c r="F429" s="11" t="s">
        <v>1690</v>
      </c>
      <c r="G429" s="11">
        <v>2.0</v>
      </c>
    </row>
    <row r="430">
      <c r="A430" s="11" t="s">
        <v>1975</v>
      </c>
      <c r="B430" s="11" t="s">
        <v>1747</v>
      </c>
      <c r="C430" s="11" t="s">
        <v>1737</v>
      </c>
      <c r="D430" s="11">
        <v>250.0</v>
      </c>
      <c r="E430" s="11" t="s">
        <v>1912</v>
      </c>
      <c r="F430" s="11" t="s">
        <v>1674</v>
      </c>
      <c r="G430" s="11">
        <v>2.0</v>
      </c>
      <c r="H430" s="11" t="s">
        <v>1675</v>
      </c>
      <c r="I430" s="11">
        <v>1.0</v>
      </c>
    </row>
    <row r="431">
      <c r="A431" s="11" t="s">
        <v>1976</v>
      </c>
      <c r="B431" s="11" t="s">
        <v>1747</v>
      </c>
      <c r="C431" s="11" t="s">
        <v>1737</v>
      </c>
      <c r="D431" s="11">
        <v>240.0</v>
      </c>
      <c r="E431" s="11" t="s">
        <v>1912</v>
      </c>
      <c r="F431" s="11" t="s">
        <v>1690</v>
      </c>
      <c r="G431" s="11">
        <v>5.0</v>
      </c>
    </row>
    <row r="432">
      <c r="A432" s="11" t="s">
        <v>1977</v>
      </c>
      <c r="B432" s="11" t="s">
        <v>1747</v>
      </c>
      <c r="C432" s="11" t="s">
        <v>1737</v>
      </c>
      <c r="D432" s="11">
        <v>800.0</v>
      </c>
      <c r="E432" s="11" t="s">
        <v>1912</v>
      </c>
      <c r="F432" s="11" t="s">
        <v>1674</v>
      </c>
      <c r="G432" s="11">
        <v>2.0</v>
      </c>
      <c r="H432" s="11" t="s">
        <v>1675</v>
      </c>
      <c r="I432" s="11">
        <v>1.0</v>
      </c>
    </row>
    <row r="433">
      <c r="A433" s="11" t="s">
        <v>1978</v>
      </c>
      <c r="B433" s="11" t="s">
        <v>1747</v>
      </c>
      <c r="C433" s="11" t="s">
        <v>1737</v>
      </c>
      <c r="D433" s="11">
        <v>240.0</v>
      </c>
      <c r="E433" s="11" t="s">
        <v>1912</v>
      </c>
      <c r="F433" s="11" t="s">
        <v>1690</v>
      </c>
      <c r="G433" s="11">
        <v>2.0</v>
      </c>
    </row>
    <row r="434">
      <c r="A434" s="11" t="s">
        <v>1979</v>
      </c>
      <c r="B434" s="11" t="s">
        <v>1747</v>
      </c>
      <c r="C434" s="11" t="s">
        <v>1737</v>
      </c>
      <c r="D434" s="11">
        <v>800.0</v>
      </c>
      <c r="E434" s="11" t="s">
        <v>1912</v>
      </c>
      <c r="F434" s="11" t="s">
        <v>1674</v>
      </c>
      <c r="G434" s="11">
        <v>3.0</v>
      </c>
      <c r="H434" s="11" t="s">
        <v>1675</v>
      </c>
      <c r="I434" s="11">
        <v>1.0</v>
      </c>
    </row>
    <row r="435">
      <c r="A435" s="40" t="s">
        <v>1980</v>
      </c>
      <c r="C435" s="11" t="s">
        <v>1736</v>
      </c>
      <c r="D435" s="11">
        <v>2880.0</v>
      </c>
      <c r="E435" s="11" t="s">
        <v>1981</v>
      </c>
    </row>
    <row r="436">
      <c r="A436" s="11" t="s">
        <v>1982</v>
      </c>
      <c r="B436" s="11" t="s">
        <v>1747</v>
      </c>
      <c r="C436" s="11" t="s">
        <v>1737</v>
      </c>
      <c r="D436" s="11">
        <v>150.0</v>
      </c>
      <c r="E436" s="11" t="s">
        <v>1912</v>
      </c>
      <c r="F436" s="11" t="s">
        <v>1690</v>
      </c>
      <c r="G436" s="11">
        <v>2.0</v>
      </c>
    </row>
    <row r="437">
      <c r="A437" s="11" t="s">
        <v>1983</v>
      </c>
      <c r="B437" s="11" t="s">
        <v>1747</v>
      </c>
      <c r="C437" s="11" t="s">
        <v>1737</v>
      </c>
      <c r="D437" s="11">
        <v>300.0</v>
      </c>
      <c r="E437" s="11" t="s">
        <v>1912</v>
      </c>
      <c r="F437" s="11" t="s">
        <v>1674</v>
      </c>
      <c r="G437" s="11">
        <v>2.0</v>
      </c>
      <c r="H437" s="11" t="s">
        <v>1675</v>
      </c>
      <c r="I437" s="11">
        <v>1.0</v>
      </c>
    </row>
    <row r="438">
      <c r="A438" s="11" t="s">
        <v>1984</v>
      </c>
      <c r="B438" s="11" t="s">
        <v>1747</v>
      </c>
      <c r="C438" s="11" t="s">
        <v>1737</v>
      </c>
      <c r="D438" s="11">
        <v>150.0</v>
      </c>
      <c r="E438" s="11" t="s">
        <v>1912</v>
      </c>
      <c r="F438" s="11" t="s">
        <v>1690</v>
      </c>
      <c r="G438" s="11">
        <v>2.0</v>
      </c>
    </row>
    <row r="439">
      <c r="A439" s="11" t="s">
        <v>1985</v>
      </c>
      <c r="B439" s="11" t="s">
        <v>1747</v>
      </c>
      <c r="C439" s="11" t="s">
        <v>1737</v>
      </c>
      <c r="D439" s="11">
        <v>300.0</v>
      </c>
      <c r="E439" s="11" t="s">
        <v>1912</v>
      </c>
      <c r="F439" s="11" t="s">
        <v>1674</v>
      </c>
      <c r="G439" s="11">
        <v>2.0</v>
      </c>
      <c r="H439" s="11" t="s">
        <v>1675</v>
      </c>
      <c r="I439" s="11">
        <v>1.0</v>
      </c>
    </row>
    <row r="440">
      <c r="A440" s="11" t="s">
        <v>1986</v>
      </c>
      <c r="B440" s="11" t="s">
        <v>1747</v>
      </c>
      <c r="C440" s="11" t="s">
        <v>1737</v>
      </c>
      <c r="D440" s="11">
        <v>150.0</v>
      </c>
      <c r="E440" s="11" t="s">
        <v>1912</v>
      </c>
      <c r="F440" s="11" t="s">
        <v>1690</v>
      </c>
      <c r="G440" s="11">
        <v>3.0</v>
      </c>
    </row>
    <row r="441">
      <c r="A441" s="11" t="s">
        <v>1987</v>
      </c>
      <c r="B441" s="11" t="s">
        <v>1747</v>
      </c>
      <c r="C441" s="11" t="s">
        <v>1737</v>
      </c>
      <c r="D441" s="11">
        <v>300.0</v>
      </c>
      <c r="E441" s="11" t="s">
        <v>1912</v>
      </c>
      <c r="F441" s="11" t="s">
        <v>1674</v>
      </c>
      <c r="G441" s="11">
        <v>2.0</v>
      </c>
      <c r="H441" s="11" t="s">
        <v>1675</v>
      </c>
      <c r="I441" s="11">
        <v>1.0</v>
      </c>
    </row>
    <row r="442">
      <c r="A442" s="11" t="s">
        <v>1988</v>
      </c>
      <c r="B442" s="11" t="s">
        <v>1747</v>
      </c>
      <c r="C442" s="11" t="s">
        <v>1737</v>
      </c>
      <c r="D442" s="11">
        <v>75.0</v>
      </c>
      <c r="E442" s="11" t="s">
        <v>1912</v>
      </c>
      <c r="F442" s="11" t="s">
        <v>1690</v>
      </c>
      <c r="G442" s="11">
        <v>2.0</v>
      </c>
    </row>
    <row r="443">
      <c r="A443" s="11" t="s">
        <v>1989</v>
      </c>
      <c r="B443" s="11" t="s">
        <v>1747</v>
      </c>
      <c r="C443" s="11" t="s">
        <v>1737</v>
      </c>
      <c r="D443" s="11">
        <v>150.0</v>
      </c>
      <c r="E443" s="11" t="s">
        <v>1912</v>
      </c>
      <c r="F443" s="11" t="s">
        <v>1674</v>
      </c>
      <c r="G443" s="11">
        <v>2.0</v>
      </c>
      <c r="H443" s="11" t="s">
        <v>1675</v>
      </c>
      <c r="I443" s="11">
        <v>1.0</v>
      </c>
    </row>
    <row r="444">
      <c r="A444" s="11" t="s">
        <v>1990</v>
      </c>
      <c r="B444" s="11" t="s">
        <v>1747</v>
      </c>
      <c r="C444" s="11" t="s">
        <v>1737</v>
      </c>
      <c r="D444" s="11">
        <v>150.0</v>
      </c>
      <c r="E444" s="11" t="s">
        <v>1912</v>
      </c>
      <c r="F444" s="11" t="s">
        <v>1690</v>
      </c>
      <c r="G444" s="11">
        <v>3.0</v>
      </c>
    </row>
    <row r="445">
      <c r="A445" s="11" t="s">
        <v>1991</v>
      </c>
      <c r="B445" s="11" t="s">
        <v>1747</v>
      </c>
      <c r="C445" s="11" t="s">
        <v>1737</v>
      </c>
      <c r="D445" s="11">
        <v>300.0</v>
      </c>
      <c r="E445" s="11" t="s">
        <v>1912</v>
      </c>
      <c r="F445" s="11" t="s">
        <v>1674</v>
      </c>
      <c r="G445" s="11">
        <v>2.0</v>
      </c>
      <c r="H445" s="11" t="s">
        <v>1675</v>
      </c>
      <c r="I445" s="11">
        <v>1.0</v>
      </c>
    </row>
    <row r="446">
      <c r="A446" s="11" t="s">
        <v>1992</v>
      </c>
      <c r="B446" s="11" t="s">
        <v>1747</v>
      </c>
      <c r="C446" s="11" t="s">
        <v>1737</v>
      </c>
      <c r="D446" s="11">
        <v>75.0</v>
      </c>
      <c r="E446" s="11" t="s">
        <v>1912</v>
      </c>
      <c r="F446" s="11" t="s">
        <v>1690</v>
      </c>
      <c r="G446" s="11">
        <v>2.0</v>
      </c>
    </row>
    <row r="447">
      <c r="A447" s="11" t="s">
        <v>1993</v>
      </c>
      <c r="B447" s="11" t="s">
        <v>1747</v>
      </c>
      <c r="C447" s="11" t="s">
        <v>1737</v>
      </c>
      <c r="D447" s="11">
        <v>150.0</v>
      </c>
      <c r="E447" s="11" t="s">
        <v>1912</v>
      </c>
      <c r="F447" s="11" t="s">
        <v>1674</v>
      </c>
      <c r="G447" s="11">
        <v>2.0</v>
      </c>
      <c r="H447" s="11" t="s">
        <v>1675</v>
      </c>
      <c r="I447" s="11">
        <v>1.0</v>
      </c>
    </row>
    <row r="448">
      <c r="A448" s="11" t="s">
        <v>1994</v>
      </c>
      <c r="B448" s="11" t="s">
        <v>1747</v>
      </c>
      <c r="C448" s="11" t="s">
        <v>1737</v>
      </c>
      <c r="D448" s="11">
        <v>150.0</v>
      </c>
      <c r="E448" s="11" t="s">
        <v>1912</v>
      </c>
      <c r="F448" s="11" t="s">
        <v>1690</v>
      </c>
      <c r="G448" s="11">
        <v>3.0</v>
      </c>
    </row>
    <row r="449">
      <c r="A449" s="11" t="s">
        <v>1995</v>
      </c>
      <c r="B449" s="11" t="s">
        <v>1747</v>
      </c>
      <c r="C449" s="11" t="s">
        <v>1737</v>
      </c>
      <c r="D449" s="11">
        <v>300.0</v>
      </c>
      <c r="E449" s="11" t="s">
        <v>1912</v>
      </c>
      <c r="F449" s="11" t="s">
        <v>1674</v>
      </c>
      <c r="G449" s="11">
        <v>2.0</v>
      </c>
      <c r="H449" s="11" t="s">
        <v>1675</v>
      </c>
      <c r="I449" s="11">
        <v>1.0</v>
      </c>
    </row>
    <row r="450">
      <c r="A450" s="11" t="s">
        <v>1996</v>
      </c>
      <c r="B450" s="11" t="s">
        <v>1747</v>
      </c>
      <c r="C450" s="11" t="s">
        <v>1737</v>
      </c>
      <c r="D450" s="11">
        <v>150.0</v>
      </c>
      <c r="E450" s="11" t="s">
        <v>1912</v>
      </c>
      <c r="F450" s="11" t="s">
        <v>1690</v>
      </c>
      <c r="G450" s="11">
        <v>3.0</v>
      </c>
    </row>
    <row r="451">
      <c r="A451" s="11" t="s">
        <v>1997</v>
      </c>
      <c r="B451" s="11" t="s">
        <v>1747</v>
      </c>
      <c r="C451" s="11" t="s">
        <v>1737</v>
      </c>
      <c r="D451" s="11">
        <v>300.0</v>
      </c>
      <c r="E451" s="11" t="s">
        <v>1912</v>
      </c>
      <c r="F451" s="11" t="s">
        <v>1674</v>
      </c>
      <c r="G451" s="11">
        <v>2.0</v>
      </c>
      <c r="H451" s="11" t="s">
        <v>1675</v>
      </c>
      <c r="I451" s="11">
        <v>1.0</v>
      </c>
    </row>
    <row r="452">
      <c r="A452" s="11" t="s">
        <v>1998</v>
      </c>
      <c r="B452" s="11" t="s">
        <v>1747</v>
      </c>
      <c r="C452" s="11" t="s">
        <v>1737</v>
      </c>
      <c r="D452" s="11">
        <v>150.0</v>
      </c>
      <c r="E452" s="11" t="s">
        <v>1912</v>
      </c>
      <c r="F452" s="11" t="s">
        <v>1690</v>
      </c>
      <c r="G452" s="11">
        <v>2.0</v>
      </c>
    </row>
    <row r="453">
      <c r="A453" s="11" t="s">
        <v>1999</v>
      </c>
      <c r="B453" s="11" t="s">
        <v>1747</v>
      </c>
      <c r="C453" s="11" t="s">
        <v>1737</v>
      </c>
      <c r="D453" s="11">
        <v>300.0</v>
      </c>
      <c r="E453" s="11" t="s">
        <v>1912</v>
      </c>
      <c r="F453" s="11" t="s">
        <v>1674</v>
      </c>
      <c r="G453" s="11">
        <v>2.0</v>
      </c>
      <c r="H453" s="11" t="s">
        <v>1675</v>
      </c>
      <c r="I453" s="11">
        <v>1.0</v>
      </c>
    </row>
    <row r="454">
      <c r="A454" s="11" t="s">
        <v>2000</v>
      </c>
      <c r="B454" s="11" t="s">
        <v>1747</v>
      </c>
      <c r="C454" s="11" t="s">
        <v>1737</v>
      </c>
      <c r="D454" s="11">
        <v>150.0</v>
      </c>
      <c r="E454" s="11" t="s">
        <v>1912</v>
      </c>
      <c r="F454" s="11" t="s">
        <v>1690</v>
      </c>
      <c r="G454" s="11">
        <v>3.0</v>
      </c>
    </row>
    <row r="455">
      <c r="A455" s="11" t="s">
        <v>2001</v>
      </c>
      <c r="B455" s="11" t="s">
        <v>1747</v>
      </c>
      <c r="C455" s="11" t="s">
        <v>1737</v>
      </c>
      <c r="D455" s="11">
        <v>300.0</v>
      </c>
      <c r="E455" s="11" t="s">
        <v>1912</v>
      </c>
      <c r="F455" s="11" t="s">
        <v>1674</v>
      </c>
      <c r="G455" s="11">
        <v>2.0</v>
      </c>
      <c r="H455" s="11" t="s">
        <v>1675</v>
      </c>
      <c r="I455" s="11">
        <v>1.0</v>
      </c>
    </row>
    <row r="456">
      <c r="A456" s="11" t="s">
        <v>564</v>
      </c>
      <c r="B456" s="11" t="s">
        <v>197</v>
      </c>
      <c r="C456" s="11" t="s">
        <v>2002</v>
      </c>
      <c r="D456" s="11">
        <v>500.0</v>
      </c>
      <c r="E456" s="55" t="s">
        <v>2003</v>
      </c>
      <c r="F456" s="11" t="s">
        <v>1665</v>
      </c>
      <c r="G456" s="11">
        <v>25.0</v>
      </c>
      <c r="H456" s="11" t="s">
        <v>1631</v>
      </c>
      <c r="I456" s="11">
        <v>10.0</v>
      </c>
    </row>
  </sheetData>
  <hyperlinks>
    <hyperlink r:id="rId1" ref="E259"/>
    <hyperlink r:id="rId2" ref="E267"/>
    <hyperlink r:id="rId3" ref="E285"/>
    <hyperlink r:id="rId4" ref="E311"/>
    <hyperlink r:id="rId5" ref="E329"/>
    <hyperlink r:id="rId6" ref="E338"/>
    <hyperlink r:id="rId7" ref="E339"/>
    <hyperlink r:id="rId8" ref="E341"/>
    <hyperlink r:id="rId9" ref="E343"/>
    <hyperlink r:id="rId10" ref="E347"/>
    <hyperlink r:id="rId11" ref="E349"/>
    <hyperlink r:id="rId12" ref="E350"/>
    <hyperlink r:id="rId13" ref="E351"/>
    <hyperlink r:id="rId14" ref="E352"/>
    <hyperlink r:id="rId15" ref="E353"/>
    <hyperlink r:id="rId16" ref="E354"/>
    <hyperlink r:id="rId17" ref="E355"/>
    <hyperlink r:id="rId18" ref="E356"/>
    <hyperlink r:id="rId19" ref="E357"/>
    <hyperlink r:id="rId20" ref="E358"/>
    <hyperlink r:id="rId21" ref="E359"/>
    <hyperlink r:id="rId22" ref="E360"/>
    <hyperlink r:id="rId23" ref="E361"/>
    <hyperlink r:id="rId24" ref="E363"/>
    <hyperlink r:id="rId25" ref="E364"/>
    <hyperlink r:id="rId26" ref="E365"/>
    <hyperlink r:id="rId27" ref="E367"/>
    <hyperlink r:id="rId28" ref="E370"/>
    <hyperlink r:id="rId29" ref="E387"/>
    <hyperlink r:id="rId30" ref="E388"/>
    <hyperlink r:id="rId31" ref="E389"/>
    <hyperlink r:id="rId32" ref="E410"/>
    <hyperlink r:id="rId33" ref="E456"/>
  </hyperlinks>
  <drawing r:id="rId34"/>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75"/>
    <col customWidth="1" min="3" max="3" width="11.0"/>
  </cols>
  <sheetData>
    <row r="1">
      <c r="A1" s="78" t="s">
        <v>2004</v>
      </c>
      <c r="B1" s="78" t="s">
        <v>37</v>
      </c>
      <c r="C1" s="78" t="s">
        <v>1745</v>
      </c>
      <c r="D1" s="40" t="s">
        <v>418</v>
      </c>
      <c r="E1" s="78" t="s">
        <v>2005</v>
      </c>
      <c r="F1" s="78" t="s">
        <v>1610</v>
      </c>
      <c r="G1" s="78" t="s">
        <v>2006</v>
      </c>
      <c r="H1" s="78" t="s">
        <v>1612</v>
      </c>
      <c r="I1" s="78" t="s">
        <v>2007</v>
      </c>
      <c r="J1" s="78" t="s">
        <v>1614</v>
      </c>
    </row>
    <row r="2">
      <c r="A2" s="79" t="s">
        <v>2008</v>
      </c>
      <c r="B2" s="80" t="s">
        <v>2009</v>
      </c>
      <c r="C2" s="80" t="s">
        <v>197</v>
      </c>
      <c r="D2" s="55" t="s">
        <v>2010</v>
      </c>
      <c r="E2" s="80" t="s">
        <v>1700</v>
      </c>
      <c r="F2" s="81">
        <v>1.0</v>
      </c>
      <c r="G2" s="82"/>
      <c r="H2" s="83"/>
      <c r="I2" s="82"/>
      <c r="J2" s="82"/>
    </row>
    <row r="3">
      <c r="A3" s="80" t="s">
        <v>2011</v>
      </c>
      <c r="B3" s="80" t="s">
        <v>2012</v>
      </c>
      <c r="C3" s="80" t="s">
        <v>197</v>
      </c>
      <c r="D3" s="55" t="s">
        <v>2013</v>
      </c>
      <c r="E3" s="80" t="s">
        <v>41</v>
      </c>
      <c r="F3" s="81">
        <v>1.0</v>
      </c>
      <c r="G3" s="80" t="s">
        <v>1631</v>
      </c>
      <c r="H3" s="81">
        <v>2.0</v>
      </c>
      <c r="I3" s="82"/>
      <c r="J3" s="82"/>
    </row>
    <row r="4">
      <c r="A4" s="80" t="s">
        <v>2014</v>
      </c>
      <c r="B4" s="80" t="s">
        <v>2015</v>
      </c>
      <c r="C4" s="80" t="s">
        <v>197</v>
      </c>
      <c r="D4" s="55" t="s">
        <v>2016</v>
      </c>
      <c r="E4" s="80" t="s">
        <v>1656</v>
      </c>
      <c r="F4" s="81">
        <v>1.0</v>
      </c>
      <c r="G4" s="82"/>
      <c r="H4" s="83"/>
      <c r="I4" s="82"/>
      <c r="J4" s="82"/>
    </row>
    <row r="5">
      <c r="A5" s="40" t="s">
        <v>2017</v>
      </c>
      <c r="B5" s="80" t="s">
        <v>2018</v>
      </c>
      <c r="C5" s="80" t="s">
        <v>2019</v>
      </c>
      <c r="D5" s="55" t="s">
        <v>2020</v>
      </c>
      <c r="E5" s="80" t="s">
        <v>1656</v>
      </c>
      <c r="F5" s="81">
        <v>6.0</v>
      </c>
      <c r="G5" s="80" t="s">
        <v>1721</v>
      </c>
      <c r="H5" s="81">
        <v>2.0</v>
      </c>
      <c r="I5" s="80" t="s">
        <v>2021</v>
      </c>
      <c r="J5" s="80">
        <v>1.0</v>
      </c>
    </row>
    <row r="6">
      <c r="A6" s="80" t="s">
        <v>2022</v>
      </c>
      <c r="B6" s="80" t="s">
        <v>2023</v>
      </c>
      <c r="C6" s="80" t="s">
        <v>211</v>
      </c>
      <c r="D6" s="55" t="s">
        <v>2024</v>
      </c>
      <c r="E6" s="80" t="s">
        <v>1684</v>
      </c>
      <c r="F6" s="80" t="s">
        <v>2025</v>
      </c>
      <c r="G6" s="80" t="s">
        <v>2026</v>
      </c>
      <c r="H6" s="80" t="s">
        <v>2027</v>
      </c>
      <c r="I6" s="82"/>
      <c r="J6" s="82"/>
    </row>
    <row r="7">
      <c r="A7" s="40" t="s">
        <v>2028</v>
      </c>
      <c r="B7" s="80" t="s">
        <v>2029</v>
      </c>
      <c r="C7" s="80" t="s">
        <v>2030</v>
      </c>
      <c r="D7" s="40" t="s">
        <v>2031</v>
      </c>
      <c r="E7" s="80" t="s">
        <v>2032</v>
      </c>
      <c r="F7" s="81">
        <v>1.0</v>
      </c>
      <c r="G7" s="82"/>
      <c r="H7" s="83"/>
      <c r="I7" s="82"/>
      <c r="J7" s="82"/>
    </row>
    <row r="8">
      <c r="A8" s="40" t="s">
        <v>2033</v>
      </c>
      <c r="B8" s="80" t="s">
        <v>2034</v>
      </c>
      <c r="C8" s="80" t="s">
        <v>2030</v>
      </c>
      <c r="D8" s="40" t="s">
        <v>2035</v>
      </c>
      <c r="E8" s="80" t="s">
        <v>2036</v>
      </c>
      <c r="F8" s="81">
        <v>1.0</v>
      </c>
      <c r="G8" s="82"/>
      <c r="H8" s="83"/>
      <c r="I8" s="82"/>
      <c r="J8" s="82"/>
    </row>
    <row r="9">
      <c r="A9" s="80" t="s">
        <v>2037</v>
      </c>
      <c r="B9" s="80" t="s">
        <v>2038</v>
      </c>
      <c r="C9" s="80" t="s">
        <v>2039</v>
      </c>
      <c r="D9" s="55" t="s">
        <v>2040</v>
      </c>
      <c r="E9" s="80" t="s">
        <v>1696</v>
      </c>
      <c r="F9" s="81">
        <v>2.0</v>
      </c>
      <c r="G9" s="82"/>
      <c r="H9" s="83"/>
      <c r="I9" s="82"/>
      <c r="J9" s="82"/>
    </row>
    <row r="10">
      <c r="A10" s="80" t="s">
        <v>2041</v>
      </c>
      <c r="B10" s="80" t="s">
        <v>2042</v>
      </c>
      <c r="C10" s="80" t="s">
        <v>211</v>
      </c>
      <c r="D10" s="55" t="s">
        <v>2043</v>
      </c>
      <c r="E10" s="80" t="s">
        <v>1708</v>
      </c>
      <c r="F10" s="81">
        <v>1.0</v>
      </c>
      <c r="G10" s="82"/>
      <c r="H10" s="83"/>
      <c r="I10" s="82"/>
      <c r="J10" s="82"/>
    </row>
    <row r="11">
      <c r="A11" s="80" t="s">
        <v>2044</v>
      </c>
      <c r="B11" s="80" t="s">
        <v>2045</v>
      </c>
      <c r="C11" s="80" t="s">
        <v>197</v>
      </c>
      <c r="D11" s="55" t="s">
        <v>2046</v>
      </c>
      <c r="E11" s="80" t="s">
        <v>1640</v>
      </c>
      <c r="F11" s="81">
        <v>1.0</v>
      </c>
      <c r="G11" s="82"/>
      <c r="H11" s="83"/>
      <c r="I11" s="82"/>
      <c r="J11" s="82"/>
    </row>
    <row r="12">
      <c r="A12" s="80" t="s">
        <v>2047</v>
      </c>
      <c r="B12" s="80" t="s">
        <v>2048</v>
      </c>
      <c r="C12" s="80" t="s">
        <v>211</v>
      </c>
      <c r="D12" s="55" t="s">
        <v>2049</v>
      </c>
      <c r="E12" s="80" t="s">
        <v>1672</v>
      </c>
      <c r="F12" s="81">
        <v>1.0</v>
      </c>
      <c r="G12" s="80" t="s">
        <v>2050</v>
      </c>
      <c r="H12" s="81">
        <v>1.0</v>
      </c>
      <c r="I12" s="82"/>
      <c r="J12" s="82"/>
    </row>
    <row r="13">
      <c r="A13" s="80" t="s">
        <v>2051</v>
      </c>
      <c r="B13" s="80" t="s">
        <v>2052</v>
      </c>
      <c r="C13" s="80" t="s">
        <v>2030</v>
      </c>
      <c r="D13" s="55" t="s">
        <v>2049</v>
      </c>
      <c r="E13" s="80" t="s">
        <v>2053</v>
      </c>
      <c r="F13" s="81">
        <v>1.0</v>
      </c>
      <c r="G13" s="82"/>
      <c r="H13" s="83"/>
      <c r="I13" s="82"/>
      <c r="J13" s="82"/>
    </row>
    <row r="14">
      <c r="A14" s="80" t="s">
        <v>2054</v>
      </c>
      <c r="B14" s="80" t="s">
        <v>2055</v>
      </c>
      <c r="C14" s="80" t="s">
        <v>2030</v>
      </c>
      <c r="D14" s="55" t="s">
        <v>2056</v>
      </c>
      <c r="E14" s="80" t="s">
        <v>1706</v>
      </c>
      <c r="F14" s="81">
        <v>1.0</v>
      </c>
      <c r="G14" s="82"/>
      <c r="H14" s="83"/>
      <c r="I14" s="82"/>
      <c r="J14" s="82"/>
    </row>
    <row r="15">
      <c r="A15" s="40" t="s">
        <v>2057</v>
      </c>
      <c r="B15" s="80" t="s">
        <v>2058</v>
      </c>
      <c r="C15" s="80" t="s">
        <v>2030</v>
      </c>
      <c r="D15" s="55" t="s">
        <v>2059</v>
      </c>
      <c r="E15" s="80" t="s">
        <v>1707</v>
      </c>
      <c r="F15" s="81">
        <v>1.0</v>
      </c>
      <c r="G15" s="82"/>
      <c r="H15" s="83"/>
      <c r="I15" s="82"/>
      <c r="J15" s="82"/>
    </row>
    <row r="16">
      <c r="A16" s="80" t="s">
        <v>2060</v>
      </c>
      <c r="B16" s="80" t="s">
        <v>2061</v>
      </c>
      <c r="C16" s="80" t="s">
        <v>2030</v>
      </c>
      <c r="D16" s="55" t="s">
        <v>2062</v>
      </c>
      <c r="E16" s="80" t="s">
        <v>2063</v>
      </c>
      <c r="F16" s="81">
        <v>1.0</v>
      </c>
      <c r="G16" s="82"/>
      <c r="H16" s="83"/>
      <c r="I16" s="82"/>
      <c r="J16" s="82"/>
    </row>
    <row r="17">
      <c r="A17" s="40" t="s">
        <v>2064</v>
      </c>
      <c r="B17" s="80" t="s">
        <v>2065</v>
      </c>
      <c r="C17" s="80" t="s">
        <v>2066</v>
      </c>
      <c r="D17" s="55" t="s">
        <v>2067</v>
      </c>
      <c r="E17" s="80" t="s">
        <v>1693</v>
      </c>
      <c r="F17" s="81">
        <v>1.0</v>
      </c>
      <c r="G17" s="82"/>
      <c r="H17" s="83"/>
      <c r="I17" s="82"/>
      <c r="J17" s="82"/>
    </row>
    <row r="18">
      <c r="A18" s="40" t="s">
        <v>2068</v>
      </c>
      <c r="B18" s="80" t="s">
        <v>2069</v>
      </c>
      <c r="C18" s="80" t="s">
        <v>2019</v>
      </c>
      <c r="D18" s="55" t="s">
        <v>2070</v>
      </c>
      <c r="E18" s="80" t="s">
        <v>1656</v>
      </c>
      <c r="F18" s="81">
        <v>4.0</v>
      </c>
      <c r="G18" s="80" t="s">
        <v>1720</v>
      </c>
      <c r="H18" s="81">
        <v>2.0</v>
      </c>
      <c r="I18" s="80" t="s">
        <v>1714</v>
      </c>
      <c r="J18" s="80">
        <v>1.0</v>
      </c>
    </row>
    <row r="19">
      <c r="A19" s="40" t="s">
        <v>2071</v>
      </c>
      <c r="B19" s="80" t="s">
        <v>2072</v>
      </c>
      <c r="C19" s="80" t="s">
        <v>2019</v>
      </c>
      <c r="D19" s="55" t="s">
        <v>2073</v>
      </c>
      <c r="E19" s="80" t="s">
        <v>1656</v>
      </c>
      <c r="F19" s="81">
        <v>4.0</v>
      </c>
      <c r="G19" s="80" t="s">
        <v>1722</v>
      </c>
      <c r="H19" s="81">
        <v>2.0</v>
      </c>
      <c r="I19" s="80" t="s">
        <v>1716</v>
      </c>
      <c r="J19" s="80">
        <v>1.0</v>
      </c>
    </row>
    <row r="20">
      <c r="A20" s="40" t="s">
        <v>2074</v>
      </c>
      <c r="B20" s="80" t="s">
        <v>2075</v>
      </c>
      <c r="C20" s="80" t="s">
        <v>2030</v>
      </c>
      <c r="D20" s="55" t="s">
        <v>2076</v>
      </c>
      <c r="E20" s="80" t="s">
        <v>1632</v>
      </c>
      <c r="F20" s="81">
        <v>1.0</v>
      </c>
      <c r="G20" s="82"/>
      <c r="H20" s="83"/>
      <c r="I20" s="82"/>
      <c r="J20" s="82"/>
    </row>
    <row r="21">
      <c r="A21" s="40" t="s">
        <v>2077</v>
      </c>
      <c r="B21" s="80" t="s">
        <v>2078</v>
      </c>
      <c r="C21" s="80" t="s">
        <v>2066</v>
      </c>
      <c r="D21" s="55" t="s">
        <v>2079</v>
      </c>
      <c r="E21" s="11" t="s">
        <v>2080</v>
      </c>
      <c r="F21" s="81">
        <v>25.0</v>
      </c>
      <c r="G21" s="82"/>
      <c r="H21" s="83"/>
      <c r="I21" s="82"/>
      <c r="J21" s="82"/>
    </row>
    <row r="22">
      <c r="A22" s="40" t="s">
        <v>2081</v>
      </c>
      <c r="B22" s="80" t="s">
        <v>2082</v>
      </c>
      <c r="C22" s="80" t="s">
        <v>2083</v>
      </c>
      <c r="D22" s="55" t="s">
        <v>2084</v>
      </c>
      <c r="E22" s="80" t="s">
        <v>1711</v>
      </c>
      <c r="F22" s="81">
        <v>1.0</v>
      </c>
      <c r="G22" s="82"/>
      <c r="H22" s="83"/>
      <c r="I22" s="82"/>
      <c r="J22" s="82"/>
    </row>
    <row r="23">
      <c r="A23" s="40" t="s">
        <v>2085</v>
      </c>
      <c r="B23" s="80" t="s">
        <v>2086</v>
      </c>
      <c r="C23" s="80" t="s">
        <v>2066</v>
      </c>
      <c r="D23" s="84" t="s">
        <v>2087</v>
      </c>
      <c r="E23" s="80" t="s">
        <v>2088</v>
      </c>
      <c r="F23" s="81">
        <v>1.0</v>
      </c>
      <c r="G23" s="80" t="s">
        <v>1709</v>
      </c>
      <c r="H23" s="81">
        <v>1.0</v>
      </c>
      <c r="I23" s="82"/>
      <c r="J23" s="82"/>
    </row>
    <row r="24">
      <c r="A24" s="80" t="s">
        <v>2089</v>
      </c>
      <c r="B24" s="80" t="s">
        <v>2090</v>
      </c>
      <c r="C24" s="80" t="s">
        <v>2066</v>
      </c>
      <c r="D24" s="11" t="s">
        <v>2091</v>
      </c>
      <c r="E24" s="80" t="s">
        <v>1704</v>
      </c>
      <c r="F24" s="81" t="s">
        <v>2092</v>
      </c>
      <c r="G24" s="82"/>
      <c r="H24" s="83"/>
      <c r="I24" s="82"/>
      <c r="J24" s="82"/>
    </row>
    <row r="25">
      <c r="A25" s="80" t="s">
        <v>2093</v>
      </c>
      <c r="B25" s="80" t="s">
        <v>2094</v>
      </c>
      <c r="C25" s="80" t="s">
        <v>2019</v>
      </c>
      <c r="D25" s="11" t="s">
        <v>2095</v>
      </c>
      <c r="E25" s="80" t="s">
        <v>1656</v>
      </c>
      <c r="F25" s="81">
        <v>1.0</v>
      </c>
      <c r="G25" s="82"/>
      <c r="H25" s="83"/>
      <c r="I25" s="82"/>
      <c r="J25" s="82"/>
    </row>
    <row r="26">
      <c r="A26" s="80" t="s">
        <v>2096</v>
      </c>
      <c r="B26" s="80" t="s">
        <v>2097</v>
      </c>
      <c r="C26" s="80" t="s">
        <v>211</v>
      </c>
      <c r="D26" s="55" t="s">
        <v>2098</v>
      </c>
      <c r="E26" s="80" t="s">
        <v>1702</v>
      </c>
      <c r="F26" s="81" t="s">
        <v>2025</v>
      </c>
      <c r="G26" s="80" t="s">
        <v>1695</v>
      </c>
      <c r="H26" s="81" t="s">
        <v>2027</v>
      </c>
      <c r="I26" s="82"/>
      <c r="J26" s="82"/>
    </row>
    <row r="27">
      <c r="A27" s="80" t="s">
        <v>2099</v>
      </c>
      <c r="B27" s="80" t="s">
        <v>2100</v>
      </c>
      <c r="C27" s="80" t="s">
        <v>197</v>
      </c>
      <c r="D27" s="11" t="s">
        <v>2101</v>
      </c>
      <c r="E27" s="80" t="s">
        <v>1698</v>
      </c>
      <c r="F27" s="81" t="s">
        <v>2025</v>
      </c>
      <c r="G27" s="82"/>
      <c r="H27" s="83"/>
      <c r="I27" s="82"/>
      <c r="J27" s="82"/>
    </row>
    <row r="28">
      <c r="A28" s="40" t="s">
        <v>2102</v>
      </c>
      <c r="B28" s="80" t="s">
        <v>2103</v>
      </c>
      <c r="C28" s="80" t="s">
        <v>197</v>
      </c>
      <c r="D28" s="11" t="s">
        <v>2104</v>
      </c>
      <c r="E28" s="80" t="s">
        <v>2105</v>
      </c>
      <c r="F28" s="81">
        <v>1.0</v>
      </c>
      <c r="G28" s="82"/>
      <c r="H28" s="83"/>
      <c r="I28" s="82"/>
      <c r="J28" s="82"/>
    </row>
    <row r="29">
      <c r="A29" s="40" t="s">
        <v>2106</v>
      </c>
      <c r="B29" s="80" t="s">
        <v>2107</v>
      </c>
      <c r="C29" s="80" t="s">
        <v>197</v>
      </c>
      <c r="D29" s="55" t="s">
        <v>2108</v>
      </c>
      <c r="E29" s="80" t="s">
        <v>1695</v>
      </c>
      <c r="F29" s="81" t="s">
        <v>2025</v>
      </c>
      <c r="G29" s="82"/>
      <c r="H29" s="83"/>
      <c r="I29" s="82"/>
      <c r="J29" s="82"/>
    </row>
    <row r="30">
      <c r="A30" s="82"/>
      <c r="B30" s="82"/>
      <c r="C30" s="82"/>
      <c r="E30" s="82"/>
      <c r="F30" s="83"/>
      <c r="G30" s="82"/>
      <c r="H30" s="83"/>
      <c r="I30" s="82"/>
      <c r="J30" s="82"/>
    </row>
    <row r="31">
      <c r="A31" s="78" t="s">
        <v>2109</v>
      </c>
      <c r="B31" s="78" t="s">
        <v>37</v>
      </c>
      <c r="C31" s="78" t="s">
        <v>2110</v>
      </c>
      <c r="D31" s="74" t="s">
        <v>418</v>
      </c>
      <c r="E31" s="82"/>
      <c r="F31" s="83"/>
      <c r="G31" s="82"/>
      <c r="H31" s="83"/>
      <c r="I31" s="82"/>
      <c r="J31" s="82"/>
    </row>
    <row r="32">
      <c r="A32" s="80" t="s">
        <v>1656</v>
      </c>
      <c r="B32" s="80" t="s">
        <v>2111</v>
      </c>
      <c r="C32" s="80" t="s">
        <v>2112</v>
      </c>
      <c r="D32" s="84" t="s">
        <v>2113</v>
      </c>
      <c r="E32" s="82"/>
      <c r="F32" s="83"/>
      <c r="G32" s="82"/>
      <c r="H32" s="83"/>
      <c r="I32" s="82"/>
      <c r="J32" s="82"/>
    </row>
    <row r="33">
      <c r="A33" s="80" t="s">
        <v>1721</v>
      </c>
      <c r="B33" s="80" t="s">
        <v>2114</v>
      </c>
      <c r="C33" s="80" t="s">
        <v>2115</v>
      </c>
      <c r="D33" s="11" t="s">
        <v>2116</v>
      </c>
      <c r="E33" s="82"/>
      <c r="F33" s="83"/>
      <c r="G33" s="82"/>
      <c r="H33" s="83"/>
      <c r="I33" s="82"/>
      <c r="J33" s="82"/>
    </row>
    <row r="34">
      <c r="A34" s="80" t="s">
        <v>2021</v>
      </c>
      <c r="B34" s="80" t="s">
        <v>2117</v>
      </c>
      <c r="C34" s="80" t="s">
        <v>2112</v>
      </c>
      <c r="D34" s="11" t="s">
        <v>2118</v>
      </c>
      <c r="E34" s="82"/>
      <c r="F34" s="83"/>
      <c r="G34" s="82"/>
      <c r="H34" s="83"/>
      <c r="I34" s="82"/>
      <c r="J34" s="82"/>
    </row>
    <row r="35">
      <c r="A35" s="80" t="s">
        <v>1719</v>
      </c>
      <c r="B35" s="80" t="s">
        <v>2119</v>
      </c>
      <c r="C35" s="80" t="s">
        <v>2112</v>
      </c>
      <c r="D35" s="11" t="s">
        <v>2120</v>
      </c>
      <c r="E35" s="82"/>
      <c r="F35" s="83"/>
      <c r="G35" s="82"/>
      <c r="H35" s="83"/>
      <c r="I35" s="82"/>
      <c r="J35" s="82"/>
    </row>
    <row r="36">
      <c r="A36" s="80" t="s">
        <v>2036</v>
      </c>
      <c r="B36" s="80" t="s">
        <v>2121</v>
      </c>
      <c r="C36" s="80" t="s">
        <v>2115</v>
      </c>
      <c r="D36" s="11" t="s">
        <v>2122</v>
      </c>
      <c r="E36" s="82"/>
      <c r="F36" s="83"/>
      <c r="G36" s="82"/>
      <c r="H36" s="83"/>
      <c r="I36" s="82"/>
      <c r="J36" s="82"/>
    </row>
    <row r="37">
      <c r="A37" s="80" t="s">
        <v>1711</v>
      </c>
      <c r="B37" s="80" t="s">
        <v>2123</v>
      </c>
      <c r="C37" s="80" t="s">
        <v>2112</v>
      </c>
      <c r="D37" s="11" t="s">
        <v>2124</v>
      </c>
      <c r="E37" s="82"/>
      <c r="F37" s="83"/>
      <c r="G37" s="82"/>
      <c r="H37" s="83"/>
      <c r="I37" s="82"/>
      <c r="J37" s="82"/>
    </row>
    <row r="38">
      <c r="A38" s="80" t="s">
        <v>1696</v>
      </c>
      <c r="B38" s="80" t="s">
        <v>2125</v>
      </c>
      <c r="C38" s="80" t="s">
        <v>2115</v>
      </c>
      <c r="D38" s="11" t="s">
        <v>2126</v>
      </c>
      <c r="E38" s="82"/>
      <c r="F38" s="83"/>
      <c r="G38" s="82"/>
      <c r="H38" s="83"/>
      <c r="I38" s="82"/>
      <c r="J38" s="82"/>
    </row>
    <row r="39">
      <c r="A39" s="80" t="s">
        <v>1631</v>
      </c>
      <c r="B39" s="80" t="s">
        <v>2127</v>
      </c>
      <c r="C39" s="80" t="s">
        <v>2112</v>
      </c>
      <c r="D39" s="11" t="s">
        <v>2128</v>
      </c>
      <c r="E39" s="82"/>
      <c r="F39" s="83"/>
      <c r="G39" s="82"/>
      <c r="H39" s="83"/>
      <c r="I39" s="82"/>
      <c r="J39" s="82"/>
    </row>
    <row r="40">
      <c r="A40" s="80" t="s">
        <v>1640</v>
      </c>
      <c r="B40" s="80" t="s">
        <v>2129</v>
      </c>
      <c r="C40" s="80" t="s">
        <v>2112</v>
      </c>
      <c r="D40" s="11" t="s">
        <v>2130</v>
      </c>
      <c r="E40" s="82"/>
      <c r="F40" s="83"/>
      <c r="G40" s="82"/>
      <c r="H40" s="83"/>
      <c r="I40" s="82"/>
      <c r="J40" s="82"/>
    </row>
    <row r="41">
      <c r="A41" s="80" t="s">
        <v>2131</v>
      </c>
      <c r="B41" s="80" t="s">
        <v>2132</v>
      </c>
      <c r="C41" s="80" t="s">
        <v>2115</v>
      </c>
      <c r="D41" s="11" t="s">
        <v>2133</v>
      </c>
      <c r="E41" s="82"/>
      <c r="F41" s="83"/>
      <c r="G41" s="82"/>
      <c r="H41" s="83"/>
      <c r="I41" s="82"/>
      <c r="J41" s="82"/>
    </row>
    <row r="42">
      <c r="A42" s="80" t="s">
        <v>1706</v>
      </c>
      <c r="B42" s="80" t="s">
        <v>2134</v>
      </c>
      <c r="C42" s="80" t="s">
        <v>2112</v>
      </c>
      <c r="D42" s="11" t="s">
        <v>2135</v>
      </c>
      <c r="E42" s="82"/>
      <c r="F42" s="83"/>
      <c r="G42" s="82"/>
      <c r="H42" s="83"/>
      <c r="I42" s="82"/>
      <c r="J42" s="82"/>
    </row>
    <row r="43">
      <c r="A43" s="80" t="s">
        <v>1707</v>
      </c>
      <c r="B43" s="80" t="s">
        <v>2136</v>
      </c>
      <c r="C43" s="80" t="s">
        <v>2112</v>
      </c>
      <c r="D43" s="11" t="s">
        <v>2137</v>
      </c>
      <c r="E43" s="82"/>
      <c r="F43" s="83"/>
      <c r="G43" s="82"/>
      <c r="H43" s="83"/>
      <c r="I43" s="82"/>
      <c r="J43" s="82"/>
    </row>
    <row r="44">
      <c r="A44" s="80" t="s">
        <v>1709</v>
      </c>
      <c r="B44" s="80" t="s">
        <v>2138</v>
      </c>
      <c r="C44" s="80" t="s">
        <v>2112</v>
      </c>
      <c r="D44" s="40" t="s">
        <v>2139</v>
      </c>
      <c r="E44" s="82"/>
      <c r="F44" s="83"/>
      <c r="G44" s="82"/>
      <c r="H44" s="83"/>
      <c r="I44" s="82"/>
      <c r="J44" s="82"/>
    </row>
    <row r="45">
      <c r="A45" s="80" t="s">
        <v>1693</v>
      </c>
      <c r="B45" s="80" t="s">
        <v>2140</v>
      </c>
      <c r="C45" s="80" t="s">
        <v>2112</v>
      </c>
      <c r="D45" s="11" t="s">
        <v>2141</v>
      </c>
      <c r="E45" s="82"/>
      <c r="F45" s="83"/>
      <c r="G45" s="82"/>
      <c r="H45" s="83"/>
      <c r="I45" s="82"/>
      <c r="J45" s="82"/>
    </row>
    <row r="46">
      <c r="A46" s="80" t="s">
        <v>2063</v>
      </c>
      <c r="B46" s="80" t="s">
        <v>2142</v>
      </c>
      <c r="C46" s="80" t="s">
        <v>2115</v>
      </c>
      <c r="D46" s="11" t="s">
        <v>2143</v>
      </c>
      <c r="E46" s="82"/>
      <c r="F46" s="83"/>
      <c r="G46" s="82"/>
      <c r="H46" s="83"/>
      <c r="I46" s="82"/>
      <c r="J46" s="82"/>
    </row>
    <row r="47">
      <c r="A47" s="80" t="s">
        <v>1720</v>
      </c>
      <c r="B47" s="80" t="s">
        <v>2144</v>
      </c>
      <c r="C47" s="80" t="s">
        <v>2115</v>
      </c>
      <c r="D47" s="11" t="s">
        <v>2145</v>
      </c>
      <c r="E47" s="82"/>
      <c r="F47" s="83"/>
      <c r="G47" s="82"/>
      <c r="H47" s="83"/>
      <c r="I47" s="82"/>
      <c r="J47" s="82"/>
    </row>
    <row r="48">
      <c r="A48" s="40" t="s">
        <v>1714</v>
      </c>
      <c r="B48" s="80" t="s">
        <v>2146</v>
      </c>
      <c r="C48" s="80" t="s">
        <v>2115</v>
      </c>
      <c r="D48" s="11" t="s">
        <v>2147</v>
      </c>
      <c r="E48" s="82"/>
      <c r="F48" s="83"/>
      <c r="G48" s="82"/>
      <c r="H48" s="83"/>
      <c r="I48" s="82"/>
      <c r="J48" s="82"/>
    </row>
    <row r="49">
      <c r="A49" s="80" t="s">
        <v>1722</v>
      </c>
      <c r="B49" s="80" t="s">
        <v>2148</v>
      </c>
      <c r="C49" s="80" t="s">
        <v>2115</v>
      </c>
      <c r="D49" s="11" t="s">
        <v>2149</v>
      </c>
      <c r="E49" s="82"/>
      <c r="F49" s="83"/>
      <c r="G49" s="82"/>
      <c r="H49" s="83"/>
      <c r="I49" s="82"/>
      <c r="J49" s="82"/>
    </row>
    <row r="50">
      <c r="A50" s="80" t="s">
        <v>1716</v>
      </c>
      <c r="B50" s="80" t="s">
        <v>2150</v>
      </c>
      <c r="C50" s="80" t="s">
        <v>2112</v>
      </c>
      <c r="D50" s="55" t="s">
        <v>2151</v>
      </c>
      <c r="E50" s="82"/>
      <c r="F50" s="83"/>
      <c r="G50" s="82"/>
      <c r="H50" s="83"/>
      <c r="I50" s="82"/>
      <c r="J50" s="82"/>
    </row>
    <row r="51">
      <c r="A51" s="40" t="s">
        <v>1713</v>
      </c>
      <c r="B51" s="80" t="s">
        <v>2152</v>
      </c>
      <c r="C51" s="80" t="s">
        <v>2112</v>
      </c>
      <c r="D51" s="11" t="s">
        <v>2153</v>
      </c>
      <c r="E51" s="82"/>
      <c r="F51" s="83"/>
      <c r="G51" s="82"/>
      <c r="H51" s="83"/>
      <c r="I51" s="82"/>
      <c r="J51" s="82"/>
    </row>
    <row r="52">
      <c r="A52" s="80" t="s">
        <v>1632</v>
      </c>
      <c r="B52" s="80" t="s">
        <v>2154</v>
      </c>
      <c r="C52" s="80" t="s">
        <v>2112</v>
      </c>
      <c r="D52" s="11" t="s">
        <v>2155</v>
      </c>
      <c r="E52" s="82"/>
      <c r="F52" s="83"/>
      <c r="G52" s="82"/>
      <c r="H52" s="83"/>
      <c r="I52" s="82"/>
      <c r="J52" s="82"/>
    </row>
    <row r="53">
      <c r="A53" s="80" t="s">
        <v>2088</v>
      </c>
      <c r="B53" s="80" t="s">
        <v>2156</v>
      </c>
      <c r="C53" s="80" t="s">
        <v>2115</v>
      </c>
      <c r="D53" s="11" t="s">
        <v>2157</v>
      </c>
      <c r="E53" s="82"/>
      <c r="F53" s="83"/>
      <c r="G53" s="82"/>
      <c r="H53" s="83"/>
      <c r="I53" s="82"/>
      <c r="J53" s="82"/>
    </row>
    <row r="54">
      <c r="A54" s="80" t="s">
        <v>1704</v>
      </c>
      <c r="B54" s="80" t="s">
        <v>2158</v>
      </c>
      <c r="C54" s="80" t="s">
        <v>2112</v>
      </c>
      <c r="D54" s="11" t="s">
        <v>2159</v>
      </c>
      <c r="E54" s="82"/>
      <c r="F54" s="83"/>
      <c r="G54" s="82"/>
      <c r="H54" s="83"/>
      <c r="I54" s="82"/>
      <c r="J54" s="82"/>
    </row>
    <row r="55">
      <c r="A55" s="80" t="s">
        <v>1685</v>
      </c>
      <c r="B55" s="80" t="s">
        <v>2160</v>
      </c>
      <c r="C55" s="80" t="s">
        <v>2115</v>
      </c>
      <c r="D55" s="55" t="s">
        <v>2161</v>
      </c>
      <c r="E55" s="82"/>
      <c r="F55" s="83"/>
      <c r="G55" s="82"/>
      <c r="H55" s="83"/>
      <c r="I55" s="82"/>
      <c r="J55" s="82"/>
    </row>
    <row r="56">
      <c r="A56" s="82"/>
      <c r="B56" s="82"/>
      <c r="C56" s="82"/>
      <c r="E56" s="82"/>
      <c r="F56" s="83"/>
      <c r="G56" s="82"/>
      <c r="H56" s="83"/>
      <c r="I56" s="82"/>
      <c r="J56" s="82"/>
    </row>
    <row r="57">
      <c r="A57" s="78" t="s">
        <v>2162</v>
      </c>
      <c r="B57" s="78" t="s">
        <v>37</v>
      </c>
      <c r="C57" s="74" t="s">
        <v>2110</v>
      </c>
      <c r="D57" s="78" t="s">
        <v>2163</v>
      </c>
      <c r="E57" s="40"/>
      <c r="F57" s="85"/>
      <c r="G57" s="40"/>
      <c r="H57" s="85"/>
      <c r="I57" s="40"/>
    </row>
    <row r="58">
      <c r="A58" s="80" t="s">
        <v>1692</v>
      </c>
      <c r="B58" s="80" t="s">
        <v>2164</v>
      </c>
      <c r="C58" s="11" t="s">
        <v>2112</v>
      </c>
      <c r="D58" s="80" t="s">
        <v>2165</v>
      </c>
      <c r="E58" s="40"/>
      <c r="F58" s="85"/>
      <c r="H58" s="85"/>
    </row>
    <row r="59">
      <c r="A59" s="80" t="s">
        <v>1694</v>
      </c>
      <c r="B59" s="80" t="s">
        <v>2166</v>
      </c>
      <c r="C59" s="80" t="s">
        <v>2112</v>
      </c>
      <c r="D59" s="11" t="s">
        <v>2167</v>
      </c>
      <c r="E59" s="82"/>
      <c r="F59" s="83"/>
      <c r="G59" s="82"/>
      <c r="H59" s="83"/>
      <c r="I59" s="82"/>
      <c r="J59" s="82"/>
    </row>
    <row r="60">
      <c r="A60" s="80" t="s">
        <v>1681</v>
      </c>
      <c r="B60" s="80" t="s">
        <v>2168</v>
      </c>
      <c r="C60" s="80" t="s">
        <v>2112</v>
      </c>
      <c r="D60" s="55" t="s">
        <v>2169</v>
      </c>
      <c r="E60" s="82"/>
      <c r="F60" s="83"/>
      <c r="G60" s="82"/>
      <c r="H60" s="83"/>
      <c r="I60" s="82"/>
      <c r="J60" s="82"/>
    </row>
    <row r="61">
      <c r="A61" s="80" t="s">
        <v>1663</v>
      </c>
      <c r="B61" s="80" t="s">
        <v>2170</v>
      </c>
      <c r="C61" s="80" t="s">
        <v>2112</v>
      </c>
      <c r="D61" s="11" t="s">
        <v>2171</v>
      </c>
      <c r="E61" s="82"/>
      <c r="F61" s="83"/>
      <c r="G61" s="82"/>
      <c r="H61" s="83"/>
      <c r="I61" s="82"/>
      <c r="J61" s="82"/>
    </row>
    <row r="62">
      <c r="A62" s="80" t="s">
        <v>1697</v>
      </c>
      <c r="B62" s="80" t="s">
        <v>2172</v>
      </c>
      <c r="C62" s="80" t="s">
        <v>2112</v>
      </c>
      <c r="D62" s="55" t="s">
        <v>2173</v>
      </c>
      <c r="E62" s="82"/>
      <c r="F62" s="83"/>
      <c r="G62" s="82"/>
      <c r="H62" s="83"/>
      <c r="I62" s="82"/>
      <c r="J62" s="82"/>
    </row>
    <row r="63">
      <c r="A63" s="80" t="s">
        <v>1699</v>
      </c>
      <c r="B63" s="80" t="s">
        <v>2174</v>
      </c>
      <c r="C63" s="80" t="s">
        <v>2112</v>
      </c>
      <c r="D63" s="55" t="s">
        <v>2175</v>
      </c>
      <c r="E63" s="82"/>
      <c r="F63" s="83"/>
      <c r="G63" s="82"/>
      <c r="H63" s="83"/>
      <c r="I63" s="82"/>
      <c r="J63" s="82"/>
    </row>
    <row r="64">
      <c r="A64" s="80" t="s">
        <v>1687</v>
      </c>
      <c r="B64" s="80" t="s">
        <v>2176</v>
      </c>
      <c r="C64" s="80" t="s">
        <v>2112</v>
      </c>
      <c r="D64" s="11" t="s">
        <v>2177</v>
      </c>
      <c r="E64" s="82"/>
      <c r="F64" s="83"/>
      <c r="G64" s="82"/>
      <c r="H64" s="83"/>
      <c r="I64" s="82"/>
      <c r="J64" s="82"/>
    </row>
    <row r="65">
      <c r="A65" s="80" t="s">
        <v>1703</v>
      </c>
      <c r="B65" s="80" t="s">
        <v>2178</v>
      </c>
      <c r="C65" s="80" t="s">
        <v>2112</v>
      </c>
      <c r="D65" s="55" t="s">
        <v>2179</v>
      </c>
      <c r="E65" s="82"/>
      <c r="F65" s="83"/>
      <c r="G65" s="82"/>
      <c r="H65" s="83"/>
      <c r="I65" s="82"/>
      <c r="J65" s="82"/>
    </row>
    <row r="66">
      <c r="A66" s="80" t="s">
        <v>1705</v>
      </c>
      <c r="B66" s="80" t="s">
        <v>2180</v>
      </c>
      <c r="C66" s="80" t="s">
        <v>2112</v>
      </c>
      <c r="D66" s="11" t="s">
        <v>2181</v>
      </c>
      <c r="E66" s="82"/>
      <c r="F66" s="83"/>
      <c r="G66" s="82"/>
      <c r="H66" s="83"/>
      <c r="I66" s="82"/>
      <c r="J66" s="82"/>
    </row>
    <row r="67">
      <c r="A67" s="80" t="s">
        <v>1651</v>
      </c>
      <c r="B67" s="80" t="s">
        <v>2182</v>
      </c>
      <c r="C67" s="80" t="s">
        <v>2112</v>
      </c>
      <c r="D67" s="55" t="s">
        <v>2183</v>
      </c>
      <c r="E67" s="82"/>
      <c r="F67" s="83"/>
      <c r="G67" s="82"/>
      <c r="H67" s="83"/>
      <c r="I67" s="82"/>
      <c r="J67" s="82"/>
    </row>
    <row r="68">
      <c r="A68" s="80" t="s">
        <v>1630</v>
      </c>
      <c r="B68" s="80" t="s">
        <v>2184</v>
      </c>
      <c r="C68" s="80" t="s">
        <v>2112</v>
      </c>
      <c r="D68" s="55" t="s">
        <v>2185</v>
      </c>
      <c r="E68" s="82"/>
      <c r="F68" s="83"/>
      <c r="G68" s="82"/>
      <c r="H68" s="83"/>
      <c r="I68" s="82"/>
      <c r="J68" s="82"/>
    </row>
    <row r="69">
      <c r="A69" s="40" t="s">
        <v>1675</v>
      </c>
      <c r="B69" s="80" t="s">
        <v>2186</v>
      </c>
      <c r="C69" s="80" t="s">
        <v>2112</v>
      </c>
      <c r="D69" s="11" t="s">
        <v>2187</v>
      </c>
      <c r="E69" s="82"/>
      <c r="F69" s="83"/>
      <c r="G69" s="82"/>
      <c r="H69" s="83"/>
      <c r="I69" s="82"/>
      <c r="J69" s="82"/>
    </row>
    <row r="70">
      <c r="A70" s="80" t="s">
        <v>1690</v>
      </c>
      <c r="B70" s="80" t="s">
        <v>2188</v>
      </c>
      <c r="C70" s="80" t="s">
        <v>2112</v>
      </c>
      <c r="D70" s="11" t="s">
        <v>2189</v>
      </c>
      <c r="E70" s="82"/>
      <c r="F70" s="83"/>
      <c r="G70" s="82"/>
      <c r="H70" s="83"/>
      <c r="I70" s="82"/>
      <c r="J70" s="82"/>
    </row>
    <row r="71">
      <c r="A71" s="80" t="s">
        <v>1652</v>
      </c>
      <c r="B71" s="80" t="s">
        <v>2190</v>
      </c>
      <c r="C71" s="80" t="s">
        <v>2112</v>
      </c>
      <c r="D71" s="55" t="s">
        <v>2191</v>
      </c>
      <c r="E71" s="82"/>
      <c r="F71" s="83"/>
      <c r="G71" s="82"/>
      <c r="H71" s="83"/>
      <c r="I71" s="82"/>
      <c r="J71" s="82"/>
    </row>
    <row r="72">
      <c r="A72" s="80" t="s">
        <v>1668</v>
      </c>
      <c r="B72" s="80" t="s">
        <v>2192</v>
      </c>
      <c r="C72" s="80" t="s">
        <v>2112</v>
      </c>
      <c r="D72" s="11" t="s">
        <v>2193</v>
      </c>
      <c r="E72" s="82"/>
      <c r="F72" s="83"/>
      <c r="G72" s="82"/>
      <c r="H72" s="83"/>
      <c r="I72" s="82"/>
      <c r="J72" s="82"/>
    </row>
    <row r="73">
      <c r="A73" s="80" t="s">
        <v>1635</v>
      </c>
      <c r="B73" s="80" t="s">
        <v>2194</v>
      </c>
      <c r="C73" s="80" t="s">
        <v>2112</v>
      </c>
      <c r="D73" s="11" t="s">
        <v>2195</v>
      </c>
      <c r="E73" s="82"/>
      <c r="F73" s="83"/>
      <c r="G73" s="82"/>
      <c r="H73" s="83"/>
      <c r="I73" s="82"/>
      <c r="J73" s="82"/>
    </row>
    <row r="74">
      <c r="A74" s="80" t="s">
        <v>1674</v>
      </c>
      <c r="B74" s="80" t="s">
        <v>2196</v>
      </c>
      <c r="C74" s="80" t="s">
        <v>2115</v>
      </c>
      <c r="D74" s="11" t="s">
        <v>2197</v>
      </c>
      <c r="E74" s="82"/>
      <c r="F74" s="83"/>
      <c r="G74" s="82"/>
      <c r="H74" s="83"/>
      <c r="I74" s="82"/>
      <c r="J74" s="82"/>
    </row>
    <row r="75">
      <c r="A75" s="80" t="s">
        <v>1633</v>
      </c>
      <c r="B75" s="80" t="s">
        <v>2198</v>
      </c>
      <c r="C75" s="80" t="s">
        <v>2115</v>
      </c>
      <c r="D75" s="11" t="s">
        <v>2199</v>
      </c>
      <c r="E75" s="82"/>
      <c r="F75" s="83"/>
      <c r="G75" s="82"/>
      <c r="H75" s="83"/>
      <c r="I75" s="82"/>
      <c r="J75" s="82"/>
    </row>
    <row r="76">
      <c r="A76" s="80" t="s">
        <v>1636</v>
      </c>
      <c r="B76" s="80" t="s">
        <v>2200</v>
      </c>
      <c r="C76" s="80" t="s">
        <v>2112</v>
      </c>
      <c r="D76" s="11" t="s">
        <v>2201</v>
      </c>
      <c r="E76" s="82"/>
      <c r="F76" s="83"/>
      <c r="G76" s="82"/>
      <c r="H76" s="83"/>
      <c r="I76" s="82"/>
      <c r="J76" s="82"/>
    </row>
    <row r="77">
      <c r="A77" s="80" t="s">
        <v>1639</v>
      </c>
      <c r="B77" s="80" t="s">
        <v>2202</v>
      </c>
      <c r="C77" s="80" t="s">
        <v>2112</v>
      </c>
      <c r="D77" s="11" t="s">
        <v>2203</v>
      </c>
      <c r="E77" s="82"/>
      <c r="F77" s="83"/>
      <c r="G77" s="82"/>
      <c r="H77" s="83"/>
      <c r="I77" s="82"/>
      <c r="J77" s="82"/>
    </row>
    <row r="78">
      <c r="A78" s="80" t="s">
        <v>1659</v>
      </c>
      <c r="B78" s="80" t="s">
        <v>2204</v>
      </c>
      <c r="C78" s="80" t="s">
        <v>2112</v>
      </c>
      <c r="D78" s="11" t="s">
        <v>2205</v>
      </c>
      <c r="E78" s="82"/>
      <c r="F78" s="83"/>
      <c r="G78" s="82"/>
      <c r="H78" s="83"/>
      <c r="I78" s="82"/>
      <c r="J78" s="82"/>
    </row>
    <row r="79">
      <c r="A79" s="80" t="s">
        <v>1701</v>
      </c>
      <c r="B79" s="80" t="s">
        <v>2206</v>
      </c>
      <c r="C79" s="80" t="s">
        <v>2112</v>
      </c>
      <c r="D79" s="11" t="s">
        <v>2207</v>
      </c>
      <c r="E79" s="82"/>
      <c r="F79" s="83"/>
      <c r="G79" s="82"/>
      <c r="H79" s="83"/>
      <c r="I79" s="82"/>
      <c r="J79" s="82"/>
    </row>
    <row r="80">
      <c r="A80" s="80" t="s">
        <v>1649</v>
      </c>
      <c r="B80" s="80" t="s">
        <v>2208</v>
      </c>
      <c r="C80" s="80" t="s">
        <v>2112</v>
      </c>
      <c r="D80" s="11" t="s">
        <v>2209</v>
      </c>
      <c r="E80" s="82"/>
      <c r="F80" s="83"/>
      <c r="G80" s="82"/>
      <c r="H80" s="83"/>
      <c r="I80" s="82"/>
      <c r="J80" s="82"/>
    </row>
    <row r="81">
      <c r="A81" s="40" t="s">
        <v>1665</v>
      </c>
      <c r="B81" s="80" t="s">
        <v>2210</v>
      </c>
      <c r="C81" s="80" t="s">
        <v>2112</v>
      </c>
      <c r="D81" s="11" t="s">
        <v>2211</v>
      </c>
      <c r="E81" s="82"/>
      <c r="F81" s="83"/>
      <c r="G81" s="82"/>
      <c r="H81" s="83"/>
      <c r="I81" s="82"/>
      <c r="J81" s="82"/>
    </row>
    <row r="82">
      <c r="A82" s="82"/>
      <c r="B82" s="82"/>
      <c r="C82" s="82"/>
      <c r="E82" s="82"/>
      <c r="F82" s="83"/>
      <c r="G82" s="82"/>
      <c r="H82" s="83"/>
      <c r="I82" s="82"/>
      <c r="J82" s="82"/>
    </row>
    <row r="83">
      <c r="A83" s="78" t="s">
        <v>2212</v>
      </c>
      <c r="B83" s="78" t="s">
        <v>37</v>
      </c>
      <c r="C83" s="78" t="s">
        <v>2110</v>
      </c>
      <c r="D83" s="74" t="s">
        <v>2213</v>
      </c>
      <c r="E83" s="78" t="s">
        <v>418</v>
      </c>
      <c r="F83" s="83"/>
      <c r="G83" s="82"/>
      <c r="H83" s="83"/>
      <c r="I83" s="82"/>
      <c r="J83" s="82"/>
    </row>
    <row r="84">
      <c r="A84" s="80" t="s">
        <v>1710</v>
      </c>
      <c r="B84" s="80" t="s">
        <v>2214</v>
      </c>
      <c r="C84" s="80" t="s">
        <v>2112</v>
      </c>
      <c r="E84" s="55" t="s">
        <v>2215</v>
      </c>
      <c r="F84" s="83"/>
      <c r="G84" s="82"/>
      <c r="H84" s="83"/>
      <c r="I84" s="82"/>
      <c r="J84" s="82"/>
    </row>
    <row r="85">
      <c r="A85" s="40" t="s">
        <v>1671</v>
      </c>
      <c r="B85" s="80" t="s">
        <v>2216</v>
      </c>
      <c r="C85" s="80" t="s">
        <v>2112</v>
      </c>
      <c r="E85" s="80" t="s">
        <v>2217</v>
      </c>
      <c r="F85" s="83"/>
      <c r="G85" s="82"/>
      <c r="H85" s="83"/>
      <c r="I85" s="82"/>
      <c r="J85" s="82"/>
    </row>
    <row r="86">
      <c r="A86" s="80" t="s">
        <v>1700</v>
      </c>
      <c r="B86" s="80" t="s">
        <v>2218</v>
      </c>
      <c r="C86" s="80" t="s">
        <v>2112</v>
      </c>
      <c r="E86" s="55" t="s">
        <v>2219</v>
      </c>
      <c r="F86" s="83"/>
      <c r="G86" s="82"/>
      <c r="H86" s="83"/>
      <c r="I86" s="82"/>
      <c r="J86" s="82"/>
    </row>
    <row r="87">
      <c r="A87" s="40" t="s">
        <v>92</v>
      </c>
      <c r="B87" s="80" t="s">
        <v>2220</v>
      </c>
      <c r="C87" s="80" t="s">
        <v>2112</v>
      </c>
      <c r="D87" s="11" t="s">
        <v>2221</v>
      </c>
      <c r="E87" s="40" t="s">
        <v>2222</v>
      </c>
      <c r="F87" s="83"/>
      <c r="G87" s="82"/>
      <c r="H87" s="83"/>
      <c r="I87" s="82"/>
      <c r="J87" s="82"/>
    </row>
    <row r="88">
      <c r="A88" s="80" t="s">
        <v>1686</v>
      </c>
      <c r="B88" s="80" t="s">
        <v>2223</v>
      </c>
      <c r="C88" s="80" t="s">
        <v>2112</v>
      </c>
      <c r="E88" s="55" t="s">
        <v>2224</v>
      </c>
      <c r="F88" s="83"/>
      <c r="G88" s="82"/>
      <c r="H88" s="83"/>
      <c r="I88" s="82"/>
      <c r="J88" s="82"/>
    </row>
    <row r="89">
      <c r="A89" s="80" t="s">
        <v>81</v>
      </c>
      <c r="B89" s="80" t="s">
        <v>2225</v>
      </c>
      <c r="C89" s="80" t="s">
        <v>2112</v>
      </c>
      <c r="D89" s="11" t="s">
        <v>2221</v>
      </c>
      <c r="E89" s="55" t="s">
        <v>2226</v>
      </c>
      <c r="F89" s="83"/>
      <c r="G89" s="82"/>
      <c r="H89" s="83"/>
      <c r="I89" s="82"/>
      <c r="J89" s="82"/>
    </row>
    <row r="90">
      <c r="A90" s="80" t="s">
        <v>89</v>
      </c>
      <c r="B90" s="80" t="s">
        <v>2227</v>
      </c>
      <c r="C90" s="80" t="s">
        <v>2112</v>
      </c>
      <c r="D90" s="11" t="s">
        <v>2221</v>
      </c>
      <c r="E90" s="55" t="s">
        <v>2228</v>
      </c>
      <c r="F90" s="83"/>
      <c r="G90" s="82"/>
      <c r="H90" s="83"/>
      <c r="I90" s="82"/>
      <c r="J90" s="82"/>
    </row>
    <row r="91">
      <c r="A91" s="80" t="s">
        <v>1678</v>
      </c>
      <c r="B91" s="80" t="s">
        <v>2229</v>
      </c>
      <c r="C91" s="80" t="s">
        <v>2112</v>
      </c>
      <c r="E91" s="55" t="s">
        <v>2230</v>
      </c>
      <c r="F91" s="83"/>
      <c r="G91" s="82"/>
      <c r="H91" s="83"/>
      <c r="I91" s="82"/>
      <c r="J91" s="82"/>
    </row>
    <row r="92">
      <c r="A92" s="40" t="s">
        <v>1662</v>
      </c>
      <c r="B92" s="80" t="s">
        <v>2231</v>
      </c>
      <c r="C92" s="80" t="s">
        <v>2112</v>
      </c>
      <c r="E92" s="80" t="s">
        <v>2232</v>
      </c>
      <c r="F92" s="83"/>
      <c r="G92" s="82"/>
      <c r="H92" s="83"/>
      <c r="I92" s="82"/>
      <c r="J92" s="82"/>
    </row>
    <row r="93">
      <c r="A93" s="80" t="s">
        <v>1712</v>
      </c>
      <c r="B93" s="80" t="s">
        <v>2233</v>
      </c>
      <c r="C93" s="80" t="s">
        <v>2112</v>
      </c>
      <c r="E93" s="80" t="s">
        <v>2234</v>
      </c>
      <c r="F93" s="83"/>
      <c r="G93" s="82"/>
      <c r="H93" s="83"/>
      <c r="I93" s="82"/>
      <c r="J93" s="82"/>
    </row>
    <row r="94">
      <c r="A94" s="80" t="s">
        <v>1717</v>
      </c>
      <c r="B94" s="80" t="s">
        <v>2235</v>
      </c>
      <c r="C94" s="80" t="s">
        <v>2115</v>
      </c>
      <c r="E94" s="55" t="s">
        <v>2236</v>
      </c>
      <c r="F94" s="83"/>
      <c r="G94" s="82"/>
      <c r="H94" s="83"/>
      <c r="I94" s="82"/>
      <c r="J94" s="82"/>
    </row>
    <row r="95">
      <c r="A95" s="80" t="s">
        <v>1718</v>
      </c>
      <c r="B95" s="80" t="s">
        <v>2237</v>
      </c>
      <c r="C95" s="80" t="s">
        <v>2115</v>
      </c>
      <c r="E95" s="80" t="s">
        <v>2238</v>
      </c>
      <c r="F95" s="83"/>
      <c r="G95" s="82"/>
      <c r="H95" s="83"/>
      <c r="I95" s="82"/>
      <c r="J95" s="82"/>
    </row>
    <row r="96">
      <c r="A96" s="82"/>
      <c r="B96" s="82"/>
      <c r="C96" s="82"/>
      <c r="E96" s="82"/>
      <c r="F96" s="83"/>
      <c r="G96" s="82"/>
      <c r="H96" s="83"/>
      <c r="I96" s="82"/>
      <c r="J96" s="82"/>
    </row>
    <row r="97">
      <c r="A97" s="78" t="s">
        <v>2239</v>
      </c>
      <c r="B97" s="78" t="s">
        <v>37</v>
      </c>
      <c r="C97" s="78" t="s">
        <v>418</v>
      </c>
      <c r="E97" s="82"/>
      <c r="F97" s="83"/>
      <c r="G97" s="82"/>
      <c r="H97" s="83"/>
      <c r="I97" s="82"/>
      <c r="J97" s="82"/>
    </row>
    <row r="98">
      <c r="A98" s="80" t="s">
        <v>1684</v>
      </c>
      <c r="B98" s="80" t="s">
        <v>2240</v>
      </c>
      <c r="C98" s="40" t="s">
        <v>2241</v>
      </c>
      <c r="E98" s="82"/>
      <c r="F98" s="83"/>
      <c r="G98" s="82"/>
      <c r="H98" s="83"/>
      <c r="I98" s="82"/>
      <c r="J98" s="82"/>
    </row>
    <row r="99">
      <c r="A99" s="80" t="s">
        <v>1698</v>
      </c>
      <c r="B99" s="80" t="s">
        <v>2242</v>
      </c>
      <c r="C99" s="80" t="s">
        <v>2243</v>
      </c>
      <c r="E99" s="82"/>
      <c r="F99" s="83"/>
      <c r="G99" s="82"/>
      <c r="H99" s="83"/>
      <c r="I99" s="82"/>
      <c r="J99" s="82"/>
    </row>
    <row r="100">
      <c r="A100" s="40" t="s">
        <v>1708</v>
      </c>
      <c r="B100" s="80" t="s">
        <v>2244</v>
      </c>
      <c r="C100" s="80" t="s">
        <v>2245</v>
      </c>
      <c r="E100" s="82"/>
      <c r="F100" s="83"/>
      <c r="G100" s="82"/>
      <c r="H100" s="83"/>
      <c r="I100" s="82"/>
      <c r="J100" s="82"/>
    </row>
    <row r="101">
      <c r="A101" s="80" t="s">
        <v>2105</v>
      </c>
      <c r="B101" s="80" t="s">
        <v>2246</v>
      </c>
      <c r="C101" s="55" t="s">
        <v>2247</v>
      </c>
      <c r="E101" s="82"/>
      <c r="F101" s="83"/>
      <c r="G101" s="82"/>
      <c r="H101" s="83"/>
      <c r="I101" s="82"/>
      <c r="J101" s="82"/>
    </row>
    <row r="102">
      <c r="A102" s="80" t="s">
        <v>2050</v>
      </c>
      <c r="B102" s="80" t="s">
        <v>2248</v>
      </c>
      <c r="C102" s="55" t="s">
        <v>2249</v>
      </c>
      <c r="E102" s="82"/>
      <c r="F102" s="83"/>
      <c r="G102" s="82"/>
      <c r="H102" s="83"/>
      <c r="I102" s="82"/>
      <c r="J102" s="82"/>
    </row>
    <row r="103">
      <c r="A103" s="40" t="s">
        <v>1672</v>
      </c>
      <c r="B103" s="80" t="s">
        <v>2250</v>
      </c>
      <c r="C103" s="80" t="s">
        <v>2251</v>
      </c>
      <c r="E103" s="82"/>
      <c r="F103" s="83"/>
      <c r="G103" s="82"/>
      <c r="H103" s="83"/>
      <c r="I103" s="82"/>
      <c r="J103" s="82"/>
    </row>
    <row r="104">
      <c r="A104" s="80" t="s">
        <v>1695</v>
      </c>
      <c r="B104" s="80" t="s">
        <v>2252</v>
      </c>
      <c r="C104" s="40" t="s">
        <v>2253</v>
      </c>
      <c r="E104" s="82"/>
      <c r="F104" s="83"/>
      <c r="G104" s="82"/>
      <c r="H104" s="83"/>
      <c r="I104" s="82"/>
      <c r="J104" s="82"/>
    </row>
    <row r="105">
      <c r="A105" s="40" t="s">
        <v>1702</v>
      </c>
      <c r="B105" s="80" t="s">
        <v>2254</v>
      </c>
      <c r="C105" s="40" t="s">
        <v>2255</v>
      </c>
      <c r="E105" s="82"/>
      <c r="F105" s="83"/>
      <c r="G105" s="82"/>
      <c r="H105" s="83"/>
      <c r="I105" s="82"/>
      <c r="J105" s="82"/>
    </row>
    <row r="106">
      <c r="A106" s="82"/>
      <c r="B106" s="82"/>
      <c r="C106" s="82"/>
      <c r="E106" s="82"/>
      <c r="F106" s="83"/>
      <c r="G106" s="82"/>
      <c r="H106" s="83"/>
      <c r="I106" s="82"/>
      <c r="J106" s="82"/>
    </row>
    <row r="107">
      <c r="A107" s="78" t="s">
        <v>2256</v>
      </c>
      <c r="B107" s="78" t="s">
        <v>37</v>
      </c>
      <c r="C107" s="78" t="s">
        <v>418</v>
      </c>
      <c r="E107" s="82"/>
      <c r="F107" s="83"/>
      <c r="G107" s="82"/>
      <c r="H107" s="83"/>
      <c r="I107" s="82"/>
      <c r="J107" s="82"/>
    </row>
    <row r="108">
      <c r="A108" s="40" t="s">
        <v>1638</v>
      </c>
      <c r="B108" s="80" t="s">
        <v>2257</v>
      </c>
      <c r="C108" s="80" t="s">
        <v>2258</v>
      </c>
      <c r="E108" s="82"/>
      <c r="F108" s="83"/>
      <c r="G108" s="82"/>
      <c r="H108" s="83"/>
      <c r="I108" s="82"/>
      <c r="J108" s="82"/>
    </row>
    <row r="109">
      <c r="A109" s="80" t="s">
        <v>1728</v>
      </c>
      <c r="B109" s="80" t="s">
        <v>2259</v>
      </c>
      <c r="C109" s="55" t="s">
        <v>2260</v>
      </c>
      <c r="E109" s="82"/>
      <c r="F109" s="83"/>
      <c r="G109" s="82"/>
      <c r="H109" s="83"/>
      <c r="I109" s="82"/>
      <c r="J109" s="82"/>
    </row>
    <row r="110">
      <c r="A110" s="80" t="s">
        <v>1727</v>
      </c>
      <c r="B110" s="80" t="s">
        <v>2261</v>
      </c>
      <c r="C110" s="55" t="s">
        <v>2262</v>
      </c>
      <c r="E110" s="82"/>
      <c r="F110" s="83"/>
      <c r="G110" s="82"/>
      <c r="H110" s="83"/>
      <c r="I110" s="82"/>
      <c r="J110" s="82"/>
    </row>
    <row r="111">
      <c r="A111" s="40" t="s">
        <v>1653</v>
      </c>
      <c r="B111" s="80" t="s">
        <v>2263</v>
      </c>
      <c r="C111" s="80" t="s">
        <v>2264</v>
      </c>
      <c r="E111" s="82"/>
      <c r="F111" s="83"/>
      <c r="G111" s="82"/>
      <c r="H111" s="83"/>
      <c r="I111" s="82"/>
      <c r="J111" s="82"/>
    </row>
    <row r="112">
      <c r="A112" s="80" t="s">
        <v>1666</v>
      </c>
      <c r="B112" s="80" t="s">
        <v>2265</v>
      </c>
      <c r="C112" s="80" t="s">
        <v>2266</v>
      </c>
      <c r="E112" s="82"/>
      <c r="F112" s="83"/>
      <c r="G112" s="82"/>
      <c r="H112" s="83"/>
      <c r="I112" s="82"/>
      <c r="J112" s="82"/>
    </row>
    <row r="113">
      <c r="A113" s="80" t="s">
        <v>1657</v>
      </c>
      <c r="B113" s="80" t="s">
        <v>2267</v>
      </c>
      <c r="C113" s="80" t="s">
        <v>2268</v>
      </c>
      <c r="E113" s="82"/>
      <c r="F113" s="83"/>
      <c r="G113" s="82"/>
      <c r="H113" s="83"/>
      <c r="I113" s="82"/>
      <c r="J113" s="82"/>
    </row>
    <row r="114">
      <c r="A114" s="80" t="s">
        <v>1634</v>
      </c>
      <c r="B114" s="80" t="s">
        <v>2269</v>
      </c>
      <c r="C114" s="80" t="s">
        <v>2270</v>
      </c>
      <c r="E114" s="82"/>
      <c r="F114" s="83"/>
      <c r="G114" s="82"/>
      <c r="H114" s="83"/>
      <c r="I114" s="82"/>
      <c r="J114" s="82"/>
    </row>
    <row r="115">
      <c r="A115" s="80" t="s">
        <v>1654</v>
      </c>
      <c r="B115" s="80" t="s">
        <v>2271</v>
      </c>
      <c r="C115" s="80" t="s">
        <v>2272</v>
      </c>
      <c r="E115" s="82"/>
      <c r="F115" s="83"/>
      <c r="G115" s="82"/>
      <c r="H115" s="83"/>
      <c r="I115" s="82"/>
      <c r="J115" s="82"/>
    </row>
    <row r="116">
      <c r="A116" s="80" t="s">
        <v>1729</v>
      </c>
      <c r="B116" s="80" t="s">
        <v>2273</v>
      </c>
      <c r="C116" s="84" t="s">
        <v>2274</v>
      </c>
      <c r="E116" s="82"/>
      <c r="F116" s="83"/>
      <c r="G116" s="82"/>
      <c r="H116" s="83"/>
      <c r="I116" s="82"/>
      <c r="J116" s="82"/>
    </row>
    <row r="117">
      <c r="A117" s="80" t="s">
        <v>1650</v>
      </c>
      <c r="B117" s="80" t="s">
        <v>2275</v>
      </c>
      <c r="C117" s="80" t="s">
        <v>2276</v>
      </c>
      <c r="E117" s="82"/>
      <c r="F117" s="83"/>
      <c r="G117" s="82"/>
      <c r="H117" s="83"/>
      <c r="I117" s="82"/>
      <c r="J117" s="82"/>
    </row>
    <row r="118">
      <c r="A118" s="80" t="s">
        <v>1655</v>
      </c>
      <c r="B118" s="80" t="s">
        <v>2277</v>
      </c>
      <c r="C118" s="80" t="s">
        <v>2278</v>
      </c>
      <c r="E118" s="82"/>
      <c r="F118" s="83"/>
      <c r="G118" s="82"/>
      <c r="H118" s="83"/>
      <c r="I118" s="82"/>
      <c r="J118" s="82"/>
    </row>
    <row r="119">
      <c r="A119" s="80" t="s">
        <v>1664</v>
      </c>
      <c r="B119" s="80" t="s">
        <v>2279</v>
      </c>
      <c r="C119" s="80" t="s">
        <v>2280</v>
      </c>
      <c r="E119" s="82"/>
      <c r="F119" s="83"/>
      <c r="G119" s="82"/>
      <c r="H119" s="83"/>
      <c r="I119" s="82"/>
      <c r="J119" s="82"/>
    </row>
    <row r="120">
      <c r="A120" s="82"/>
      <c r="B120" s="82"/>
      <c r="C120" s="82"/>
      <c r="E120" s="82"/>
      <c r="F120" s="83"/>
      <c r="G120" s="82"/>
      <c r="H120" s="83"/>
      <c r="I120" s="82"/>
      <c r="J120" s="82"/>
    </row>
    <row r="121">
      <c r="A121" s="78" t="s">
        <v>2281</v>
      </c>
      <c r="B121" s="78" t="s">
        <v>37</v>
      </c>
      <c r="C121" s="78" t="s">
        <v>2213</v>
      </c>
      <c r="D121" s="74" t="s">
        <v>418</v>
      </c>
      <c r="E121" s="82"/>
      <c r="F121" s="83"/>
      <c r="G121" s="82"/>
      <c r="H121" s="83"/>
      <c r="I121" s="82"/>
      <c r="J121" s="82"/>
    </row>
    <row r="122">
      <c r="A122" s="80" t="s">
        <v>2282</v>
      </c>
      <c r="B122" s="80" t="s">
        <v>2283</v>
      </c>
      <c r="C122" s="80" t="s">
        <v>2284</v>
      </c>
      <c r="D122" s="55" t="s">
        <v>2285</v>
      </c>
      <c r="E122" s="82"/>
      <c r="F122" s="83"/>
      <c r="G122" s="82"/>
      <c r="H122" s="83"/>
      <c r="I122" s="82"/>
      <c r="J122" s="82"/>
    </row>
    <row r="123">
      <c r="A123" s="80" t="s">
        <v>2286</v>
      </c>
      <c r="B123" s="80" t="s">
        <v>2287</v>
      </c>
      <c r="C123" s="80" t="s">
        <v>2284</v>
      </c>
      <c r="D123" s="55" t="s">
        <v>2288</v>
      </c>
      <c r="E123" s="82"/>
      <c r="F123" s="83"/>
      <c r="G123" s="82"/>
      <c r="H123" s="83"/>
      <c r="I123" s="82"/>
      <c r="J123" s="82"/>
    </row>
    <row r="124">
      <c r="A124" s="80" t="s">
        <v>2289</v>
      </c>
      <c r="B124" s="80" t="s">
        <v>2290</v>
      </c>
      <c r="C124" s="80" t="s">
        <v>2284</v>
      </c>
      <c r="D124" s="55" t="s">
        <v>2291</v>
      </c>
      <c r="E124" s="82"/>
      <c r="F124" s="83"/>
      <c r="G124" s="82"/>
      <c r="H124" s="83"/>
      <c r="I124" s="82"/>
      <c r="J124" s="82"/>
    </row>
    <row r="125">
      <c r="A125" s="80" t="s">
        <v>2292</v>
      </c>
      <c r="B125" s="80" t="s">
        <v>2293</v>
      </c>
      <c r="C125" s="80" t="s">
        <v>2284</v>
      </c>
      <c r="D125" s="40" t="s">
        <v>2294</v>
      </c>
      <c r="E125" s="82"/>
      <c r="F125" s="83"/>
      <c r="G125" s="82"/>
      <c r="H125" s="83"/>
      <c r="I125" s="82"/>
      <c r="J125" s="82"/>
    </row>
    <row r="126">
      <c r="A126" s="40" t="s">
        <v>2295</v>
      </c>
      <c r="B126" s="80" t="s">
        <v>2296</v>
      </c>
      <c r="C126" s="80" t="s">
        <v>2284</v>
      </c>
      <c r="D126" s="55" t="s">
        <v>2297</v>
      </c>
      <c r="E126" s="82"/>
      <c r="F126" s="83"/>
      <c r="G126" s="82"/>
      <c r="H126" s="83"/>
      <c r="I126" s="82"/>
      <c r="J126" s="82"/>
    </row>
    <row r="127">
      <c r="A127" s="40" t="s">
        <v>2298</v>
      </c>
      <c r="B127" s="80" t="s">
        <v>2299</v>
      </c>
      <c r="C127" s="80" t="s">
        <v>2284</v>
      </c>
      <c r="D127" s="55" t="s">
        <v>2300</v>
      </c>
      <c r="E127" s="82"/>
      <c r="F127" s="83"/>
      <c r="G127" s="82"/>
      <c r="H127" s="83"/>
      <c r="I127" s="82"/>
      <c r="J127" s="82"/>
    </row>
    <row r="128">
      <c r="A128" s="40" t="s">
        <v>2301</v>
      </c>
      <c r="B128" s="80" t="s">
        <v>2302</v>
      </c>
      <c r="C128" s="80" t="s">
        <v>2284</v>
      </c>
      <c r="D128" s="55" t="s">
        <v>2303</v>
      </c>
      <c r="E128" s="82"/>
      <c r="F128" s="83"/>
      <c r="G128" s="82"/>
      <c r="H128" s="83"/>
      <c r="I128" s="82"/>
      <c r="J128" s="82"/>
    </row>
    <row r="129">
      <c r="A129" s="40" t="s">
        <v>2304</v>
      </c>
      <c r="B129" s="80" t="s">
        <v>2305</v>
      </c>
      <c r="C129" s="80" t="s">
        <v>2284</v>
      </c>
      <c r="D129" s="55" t="s">
        <v>2306</v>
      </c>
      <c r="E129" s="82"/>
      <c r="F129" s="83"/>
      <c r="G129" s="82"/>
      <c r="H129" s="83"/>
      <c r="I129" s="82"/>
      <c r="J129" s="82"/>
    </row>
    <row r="130">
      <c r="A130" s="80" t="s">
        <v>2307</v>
      </c>
      <c r="B130" s="80" t="s">
        <v>2308</v>
      </c>
      <c r="C130" s="80" t="s">
        <v>2284</v>
      </c>
      <c r="D130" s="55" t="s">
        <v>2309</v>
      </c>
      <c r="E130" s="82"/>
      <c r="F130" s="83"/>
      <c r="G130" s="82"/>
      <c r="H130" s="83"/>
      <c r="I130" s="82"/>
      <c r="J130" s="82"/>
    </row>
    <row r="131">
      <c r="A131" s="80" t="s">
        <v>2310</v>
      </c>
      <c r="B131" s="80" t="s">
        <v>2311</v>
      </c>
      <c r="C131" s="80" t="s">
        <v>2284</v>
      </c>
      <c r="D131" s="11" t="s">
        <v>2312</v>
      </c>
      <c r="E131" s="82"/>
      <c r="F131" s="83"/>
      <c r="G131" s="82"/>
      <c r="H131" s="83"/>
      <c r="I131" s="82"/>
      <c r="J131" s="82"/>
    </row>
    <row r="132">
      <c r="A132" s="40" t="s">
        <v>2313</v>
      </c>
      <c r="B132" s="80" t="s">
        <v>2314</v>
      </c>
      <c r="C132" s="80" t="s">
        <v>2284</v>
      </c>
      <c r="D132" s="11" t="s">
        <v>2315</v>
      </c>
      <c r="E132" s="82"/>
      <c r="F132" s="83"/>
      <c r="G132" s="82"/>
      <c r="H132" s="83"/>
      <c r="I132" s="82"/>
      <c r="J132" s="82"/>
    </row>
    <row r="133">
      <c r="A133" s="80" t="s">
        <v>2316</v>
      </c>
      <c r="B133" s="80" t="s">
        <v>2317</v>
      </c>
      <c r="C133" s="80" t="s">
        <v>2284</v>
      </c>
      <c r="D133" s="55" t="s">
        <v>2318</v>
      </c>
      <c r="E133" s="82"/>
      <c r="F133" s="83"/>
      <c r="G133" s="82"/>
      <c r="H133" s="83"/>
      <c r="I133" s="82"/>
      <c r="J133" s="82"/>
    </row>
    <row r="134">
      <c r="A134" s="80" t="s">
        <v>2319</v>
      </c>
      <c r="B134" s="80" t="s">
        <v>2320</v>
      </c>
      <c r="C134" s="80" t="s">
        <v>2284</v>
      </c>
      <c r="D134" s="55" t="s">
        <v>2321</v>
      </c>
      <c r="E134" s="82"/>
      <c r="F134" s="83"/>
      <c r="G134" s="82"/>
      <c r="H134" s="83"/>
      <c r="I134" s="82"/>
      <c r="J134" s="82"/>
    </row>
    <row r="135">
      <c r="A135" s="40" t="s">
        <v>2080</v>
      </c>
      <c r="B135" s="80" t="s">
        <v>2322</v>
      </c>
      <c r="C135" s="80" t="s">
        <v>2284</v>
      </c>
      <c r="D135" s="55" t="s">
        <v>2323</v>
      </c>
      <c r="E135" s="82"/>
      <c r="F135" s="83"/>
      <c r="G135" s="82"/>
      <c r="H135" s="83"/>
      <c r="I135" s="82"/>
      <c r="J135" s="82"/>
    </row>
    <row r="136">
      <c r="A136" s="80" t="s">
        <v>2324</v>
      </c>
      <c r="B136" s="80" t="s">
        <v>2325</v>
      </c>
      <c r="C136" s="80" t="s">
        <v>2284</v>
      </c>
      <c r="D136" s="55" t="s">
        <v>2326</v>
      </c>
      <c r="E136" s="82"/>
      <c r="F136" s="83"/>
      <c r="G136" s="82"/>
      <c r="H136" s="83"/>
      <c r="I136" s="82"/>
      <c r="J136" s="82"/>
    </row>
    <row r="137">
      <c r="A137" s="80" t="s">
        <v>2327</v>
      </c>
      <c r="B137" s="80" t="s">
        <v>2328</v>
      </c>
      <c r="C137" s="80" t="s">
        <v>2284</v>
      </c>
      <c r="D137" s="40" t="s">
        <v>2329</v>
      </c>
      <c r="E137" s="82"/>
      <c r="F137" s="83"/>
      <c r="G137" s="82"/>
      <c r="H137" s="83"/>
      <c r="I137" s="82"/>
      <c r="J137" s="82"/>
    </row>
    <row r="138">
      <c r="A138" s="82"/>
      <c r="B138" s="82"/>
      <c r="C138" s="82"/>
      <c r="E138" s="82"/>
      <c r="F138" s="83"/>
      <c r="G138" s="82"/>
      <c r="H138" s="83"/>
      <c r="I138" s="82"/>
      <c r="J138" s="82"/>
    </row>
    <row r="139">
      <c r="A139" s="78" t="s">
        <v>2330</v>
      </c>
      <c r="B139" s="78" t="s">
        <v>37</v>
      </c>
      <c r="C139" s="78" t="s">
        <v>418</v>
      </c>
      <c r="E139" s="82"/>
      <c r="F139" s="83"/>
      <c r="G139" s="82"/>
      <c r="H139" s="83"/>
      <c r="I139" s="82"/>
      <c r="J139" s="82"/>
    </row>
    <row r="140">
      <c r="A140" s="80" t="s">
        <v>1723</v>
      </c>
      <c r="B140" s="80" t="s">
        <v>2164</v>
      </c>
      <c r="C140" s="80" t="s">
        <v>2331</v>
      </c>
      <c r="E140" s="82"/>
      <c r="F140" s="83"/>
      <c r="G140" s="82"/>
      <c r="H140" s="83"/>
      <c r="I140" s="82"/>
      <c r="J140" s="82"/>
    </row>
    <row r="141">
      <c r="A141" s="80" t="s">
        <v>1724</v>
      </c>
      <c r="B141" s="80" t="s">
        <v>2166</v>
      </c>
      <c r="C141" s="55" t="s">
        <v>2332</v>
      </c>
      <c r="E141" s="82"/>
      <c r="F141" s="83"/>
      <c r="G141" s="82"/>
      <c r="H141" s="83"/>
      <c r="I141" s="82"/>
      <c r="J141" s="82"/>
    </row>
    <row r="142">
      <c r="A142" s="80" t="s">
        <v>1725</v>
      </c>
      <c r="B142" s="80" t="s">
        <v>2168</v>
      </c>
      <c r="C142" s="40" t="s">
        <v>2333</v>
      </c>
      <c r="E142" s="82"/>
      <c r="F142" s="83"/>
      <c r="G142" s="82"/>
      <c r="H142" s="83"/>
      <c r="I142" s="82"/>
      <c r="J142" s="82"/>
    </row>
    <row r="143">
      <c r="A143" s="80" t="s">
        <v>1673</v>
      </c>
      <c r="B143" s="80" t="s">
        <v>2170</v>
      </c>
      <c r="C143" s="40" t="s">
        <v>2334</v>
      </c>
      <c r="E143" s="82"/>
      <c r="F143" s="83"/>
      <c r="G143" s="82"/>
      <c r="H143" s="83"/>
      <c r="I143" s="82"/>
      <c r="J143" s="82"/>
    </row>
    <row r="144">
      <c r="A144" s="80" t="s">
        <v>1676</v>
      </c>
      <c r="B144" s="80" t="s">
        <v>2172</v>
      </c>
      <c r="C144" s="11" t="s">
        <v>2335</v>
      </c>
      <c r="E144" s="82"/>
      <c r="F144" s="83"/>
      <c r="G144" s="82"/>
      <c r="H144" s="83"/>
      <c r="I144" s="82"/>
      <c r="J144" s="82"/>
    </row>
    <row r="145">
      <c r="A145" s="40" t="s">
        <v>1677</v>
      </c>
      <c r="B145" s="80" t="s">
        <v>2174</v>
      </c>
      <c r="C145" s="80" t="s">
        <v>2336</v>
      </c>
      <c r="E145" s="82"/>
      <c r="F145" s="83"/>
      <c r="G145" s="82"/>
      <c r="H145" s="83"/>
      <c r="I145" s="82"/>
      <c r="J145" s="82"/>
    </row>
    <row r="146">
      <c r="A146" s="80" t="s">
        <v>1679</v>
      </c>
      <c r="B146" s="80" t="s">
        <v>2176</v>
      </c>
      <c r="C146" s="80" t="s">
        <v>2337</v>
      </c>
      <c r="E146" s="82"/>
      <c r="F146" s="83"/>
      <c r="G146" s="82"/>
      <c r="H146" s="83"/>
      <c r="I146" s="82"/>
      <c r="J146" s="82"/>
    </row>
    <row r="147">
      <c r="A147" s="80" t="s">
        <v>1680</v>
      </c>
      <c r="B147" s="80" t="s">
        <v>2178</v>
      </c>
      <c r="C147" s="40" t="s">
        <v>2338</v>
      </c>
      <c r="E147" s="82"/>
      <c r="F147" s="83"/>
      <c r="G147" s="82"/>
      <c r="H147" s="83"/>
      <c r="I147" s="82"/>
      <c r="J147" s="82"/>
    </row>
    <row r="148">
      <c r="A148" s="80" t="s">
        <v>2339</v>
      </c>
      <c r="B148" s="80" t="s">
        <v>2180</v>
      </c>
      <c r="C148" s="11" t="s">
        <v>2340</v>
      </c>
      <c r="E148" s="82"/>
      <c r="F148" s="83"/>
      <c r="G148" s="82"/>
      <c r="H148" s="83"/>
      <c r="I148" s="82"/>
      <c r="J148" s="82"/>
    </row>
    <row r="149">
      <c r="A149" s="80" t="s">
        <v>2341</v>
      </c>
      <c r="B149" s="80" t="s">
        <v>2182</v>
      </c>
      <c r="C149" s="80" t="s">
        <v>2342</v>
      </c>
      <c r="E149" s="82"/>
      <c r="F149" s="83"/>
      <c r="G149" s="82"/>
      <c r="H149" s="83"/>
      <c r="I149" s="82"/>
      <c r="J149" s="82"/>
    </row>
    <row r="150">
      <c r="A150" s="80" t="s">
        <v>2343</v>
      </c>
      <c r="B150" s="80" t="s">
        <v>2184</v>
      </c>
      <c r="C150" s="80" t="s">
        <v>2344</v>
      </c>
      <c r="E150" s="82"/>
      <c r="F150" s="83"/>
      <c r="G150" s="82"/>
      <c r="H150" s="83"/>
      <c r="I150" s="82"/>
      <c r="J150" s="82"/>
    </row>
    <row r="151">
      <c r="A151" s="80" t="s">
        <v>2345</v>
      </c>
      <c r="B151" s="80" t="s">
        <v>2186</v>
      </c>
      <c r="C151" s="11" t="s">
        <v>2346</v>
      </c>
      <c r="E151" s="82"/>
      <c r="F151" s="83"/>
      <c r="G151" s="82"/>
      <c r="H151" s="83"/>
      <c r="I151" s="82"/>
      <c r="J151" s="82"/>
    </row>
    <row r="152">
      <c r="A152" s="80" t="s">
        <v>2347</v>
      </c>
      <c r="B152" s="80" t="s">
        <v>2188</v>
      </c>
      <c r="C152" s="11" t="s">
        <v>2348</v>
      </c>
      <c r="E152" s="82"/>
      <c r="F152" s="83"/>
      <c r="G152" s="82"/>
      <c r="H152" s="83"/>
      <c r="I152" s="82"/>
      <c r="J152" s="82"/>
    </row>
    <row r="153">
      <c r="A153" s="40" t="s">
        <v>1731</v>
      </c>
      <c r="B153" s="80" t="s">
        <v>2190</v>
      </c>
      <c r="C153" s="80" t="s">
        <v>2349</v>
      </c>
      <c r="E153" s="82"/>
      <c r="F153" s="83"/>
      <c r="G153" s="82"/>
      <c r="H153" s="83"/>
      <c r="I153" s="82"/>
      <c r="J153" s="82"/>
    </row>
    <row r="154">
      <c r="A154" s="80" t="s">
        <v>1726</v>
      </c>
      <c r="B154" s="80" t="s">
        <v>2192</v>
      </c>
      <c r="C154" s="55" t="s">
        <v>2350</v>
      </c>
      <c r="E154" s="82"/>
      <c r="F154" s="83"/>
      <c r="G154" s="82"/>
      <c r="H154" s="83"/>
      <c r="I154" s="82"/>
      <c r="J154" s="82"/>
    </row>
    <row r="155">
      <c r="A155" s="80" t="s">
        <v>1732</v>
      </c>
      <c r="B155" s="80" t="s">
        <v>2194</v>
      </c>
      <c r="C155" s="11" t="s">
        <v>2351</v>
      </c>
      <c r="E155" s="82"/>
      <c r="F155" s="83"/>
      <c r="G155" s="82"/>
      <c r="H155" s="83"/>
      <c r="I155" s="82"/>
      <c r="J155" s="82"/>
    </row>
    <row r="156">
      <c r="A156" s="40" t="s">
        <v>1683</v>
      </c>
      <c r="B156" s="80" t="s">
        <v>2196</v>
      </c>
      <c r="C156" s="55" t="s">
        <v>2352</v>
      </c>
      <c r="E156" s="82"/>
      <c r="F156" s="83"/>
      <c r="G156" s="82"/>
      <c r="H156" s="83"/>
      <c r="I156" s="82"/>
      <c r="J156" s="82"/>
    </row>
    <row r="157">
      <c r="A157" s="82"/>
      <c r="B157" s="82"/>
      <c r="C157" s="40"/>
      <c r="E157" s="82"/>
      <c r="F157" s="83"/>
      <c r="G157" s="82"/>
      <c r="H157" s="83"/>
      <c r="I157" s="82"/>
      <c r="J157" s="82"/>
    </row>
    <row r="158">
      <c r="A158" s="82"/>
      <c r="B158" s="82"/>
      <c r="C158" s="82"/>
      <c r="E158" s="82"/>
      <c r="F158" s="83"/>
      <c r="G158" s="82"/>
      <c r="H158" s="83"/>
      <c r="I158" s="82"/>
      <c r="J158" s="82"/>
    </row>
    <row r="159">
      <c r="A159" s="82"/>
      <c r="B159" s="82"/>
      <c r="C159" s="82"/>
      <c r="E159" s="82"/>
      <c r="F159" s="83"/>
      <c r="G159" s="82"/>
      <c r="H159" s="83"/>
      <c r="I159" s="82"/>
      <c r="J159" s="82"/>
    </row>
    <row r="160">
      <c r="A160" s="82"/>
      <c r="B160" s="82"/>
      <c r="C160" s="82"/>
      <c r="E160" s="82"/>
      <c r="F160" s="83"/>
      <c r="G160" s="82"/>
      <c r="H160" s="83"/>
      <c r="I160" s="82"/>
      <c r="J160" s="82"/>
    </row>
    <row r="161">
      <c r="A161" s="82"/>
      <c r="B161" s="82"/>
      <c r="C161" s="82"/>
      <c r="E161" s="82"/>
      <c r="F161" s="83"/>
      <c r="G161" s="82"/>
      <c r="H161" s="83"/>
      <c r="I161" s="82"/>
      <c r="J161" s="82"/>
    </row>
    <row r="162">
      <c r="A162" s="82"/>
      <c r="B162" s="82"/>
      <c r="C162" s="82"/>
      <c r="E162" s="82"/>
      <c r="F162" s="83"/>
      <c r="G162" s="82"/>
      <c r="H162" s="83"/>
      <c r="I162" s="82"/>
      <c r="J162" s="82"/>
    </row>
    <row r="163">
      <c r="A163" s="82"/>
      <c r="B163" s="82"/>
      <c r="C163" s="82"/>
      <c r="E163" s="82"/>
      <c r="F163" s="83"/>
      <c r="G163" s="82"/>
      <c r="H163" s="83"/>
      <c r="I163" s="82"/>
      <c r="J163" s="82"/>
    </row>
    <row r="164">
      <c r="A164" s="82"/>
      <c r="B164" s="82"/>
      <c r="C164" s="82"/>
      <c r="E164" s="82"/>
      <c r="F164" s="83"/>
      <c r="G164" s="82"/>
      <c r="H164" s="83"/>
      <c r="I164" s="82"/>
      <c r="J164" s="82"/>
    </row>
    <row r="165">
      <c r="A165" s="82"/>
      <c r="B165" s="82"/>
      <c r="C165" s="82"/>
      <c r="E165" s="82"/>
      <c r="F165" s="83"/>
      <c r="G165" s="82"/>
      <c r="H165" s="83"/>
      <c r="I165" s="82"/>
      <c r="J165" s="82"/>
    </row>
    <row r="166">
      <c r="A166" s="82"/>
      <c r="B166" s="82"/>
      <c r="C166" s="82"/>
      <c r="E166" s="82"/>
      <c r="F166" s="83"/>
      <c r="G166" s="82"/>
      <c r="H166" s="83"/>
      <c r="I166" s="82"/>
      <c r="J166" s="82"/>
    </row>
    <row r="167">
      <c r="A167" s="82"/>
      <c r="B167" s="82"/>
      <c r="C167" s="82"/>
      <c r="E167" s="82"/>
      <c r="F167" s="83"/>
      <c r="G167" s="82"/>
      <c r="H167" s="83"/>
      <c r="I167" s="82"/>
      <c r="J167" s="82"/>
    </row>
    <row r="168">
      <c r="A168" s="82"/>
      <c r="B168" s="82"/>
      <c r="C168" s="82"/>
      <c r="E168" s="82"/>
      <c r="F168" s="83"/>
      <c r="G168" s="82"/>
      <c r="H168" s="83"/>
      <c r="I168" s="82"/>
      <c r="J168" s="82"/>
    </row>
    <row r="169">
      <c r="A169" s="82"/>
      <c r="B169" s="82"/>
      <c r="C169" s="82"/>
      <c r="E169" s="82"/>
      <c r="F169" s="83"/>
      <c r="G169" s="82"/>
      <c r="H169" s="83"/>
      <c r="I169" s="82"/>
      <c r="J169" s="82"/>
    </row>
    <row r="170">
      <c r="A170" s="82"/>
      <c r="B170" s="82"/>
      <c r="C170" s="82"/>
      <c r="E170" s="82"/>
      <c r="F170" s="83"/>
      <c r="G170" s="82"/>
      <c r="H170" s="83"/>
      <c r="I170" s="82"/>
      <c r="J170" s="82"/>
    </row>
    <row r="171">
      <c r="A171" s="82"/>
      <c r="B171" s="82"/>
      <c r="C171" s="82"/>
      <c r="E171" s="82"/>
      <c r="F171" s="83"/>
      <c r="G171" s="82"/>
      <c r="H171" s="83"/>
      <c r="I171" s="82"/>
      <c r="J171" s="82"/>
    </row>
    <row r="172">
      <c r="A172" s="82"/>
      <c r="B172" s="82"/>
      <c r="C172" s="82"/>
      <c r="E172" s="82"/>
      <c r="F172" s="83"/>
      <c r="G172" s="82"/>
      <c r="H172" s="83"/>
      <c r="I172" s="82"/>
      <c r="J172" s="82"/>
    </row>
    <row r="173">
      <c r="A173" s="82"/>
      <c r="B173" s="82"/>
      <c r="C173" s="82"/>
      <c r="E173" s="82"/>
      <c r="F173" s="83"/>
      <c r="G173" s="82"/>
      <c r="H173" s="83"/>
      <c r="I173" s="82"/>
      <c r="J173" s="82"/>
    </row>
    <row r="174">
      <c r="A174" s="82"/>
      <c r="B174" s="82"/>
      <c r="C174" s="82"/>
      <c r="E174" s="82"/>
      <c r="F174" s="83"/>
      <c r="G174" s="82"/>
      <c r="H174" s="83"/>
      <c r="I174" s="82"/>
      <c r="J174" s="82"/>
    </row>
    <row r="175">
      <c r="A175" s="82"/>
      <c r="B175" s="82"/>
      <c r="C175" s="82"/>
      <c r="E175" s="82"/>
      <c r="F175" s="83"/>
      <c r="G175" s="82"/>
      <c r="H175" s="83"/>
      <c r="I175" s="82"/>
      <c r="J175" s="82"/>
    </row>
    <row r="176">
      <c r="A176" s="82"/>
      <c r="B176" s="82"/>
      <c r="C176" s="82"/>
      <c r="E176" s="82"/>
      <c r="F176" s="83"/>
      <c r="G176" s="82"/>
      <c r="H176" s="83"/>
      <c r="I176" s="82"/>
      <c r="J176" s="82"/>
    </row>
    <row r="177">
      <c r="A177" s="82"/>
      <c r="B177" s="82"/>
      <c r="C177" s="82"/>
      <c r="E177" s="82"/>
      <c r="F177" s="83"/>
      <c r="G177" s="82"/>
      <c r="H177" s="83"/>
      <c r="I177" s="82"/>
      <c r="J177" s="82"/>
    </row>
    <row r="178">
      <c r="A178" s="82"/>
      <c r="B178" s="82"/>
      <c r="C178" s="82"/>
      <c r="E178" s="82"/>
      <c r="F178" s="83"/>
      <c r="G178" s="82"/>
      <c r="H178" s="83"/>
      <c r="I178" s="82"/>
      <c r="J178" s="82"/>
    </row>
    <row r="179">
      <c r="A179" s="82"/>
      <c r="B179" s="82"/>
      <c r="C179" s="82"/>
      <c r="E179" s="82"/>
      <c r="F179" s="83"/>
      <c r="G179" s="82"/>
      <c r="H179" s="83"/>
      <c r="I179" s="82"/>
      <c r="J179" s="82"/>
    </row>
    <row r="180">
      <c r="A180" s="82"/>
      <c r="B180" s="82"/>
      <c r="C180" s="82"/>
      <c r="E180" s="82"/>
      <c r="F180" s="83"/>
      <c r="G180" s="82"/>
      <c r="H180" s="83"/>
      <c r="I180" s="82"/>
      <c r="J180" s="82"/>
    </row>
    <row r="181">
      <c r="A181" s="82"/>
      <c r="B181" s="82"/>
      <c r="C181" s="82"/>
      <c r="E181" s="82"/>
      <c r="F181" s="83"/>
      <c r="G181" s="82"/>
      <c r="H181" s="83"/>
      <c r="I181" s="82"/>
      <c r="J181" s="82"/>
    </row>
    <row r="182">
      <c r="A182" s="82"/>
      <c r="B182" s="82"/>
      <c r="C182" s="82"/>
      <c r="E182" s="82"/>
      <c r="F182" s="83"/>
      <c r="G182" s="82"/>
      <c r="H182" s="83"/>
      <c r="I182" s="82"/>
      <c r="J182" s="82"/>
    </row>
    <row r="183">
      <c r="A183" s="82"/>
      <c r="B183" s="82"/>
      <c r="C183" s="82"/>
      <c r="E183" s="82"/>
      <c r="F183" s="83"/>
      <c r="G183" s="82"/>
      <c r="H183" s="83"/>
      <c r="I183" s="82"/>
      <c r="J183" s="82"/>
    </row>
    <row r="184">
      <c r="A184" s="82"/>
      <c r="B184" s="82"/>
      <c r="C184" s="82"/>
      <c r="E184" s="82"/>
      <c r="F184" s="83"/>
      <c r="G184" s="82"/>
      <c r="H184" s="83"/>
      <c r="I184" s="82"/>
      <c r="J184" s="82"/>
    </row>
    <row r="185">
      <c r="A185" s="82"/>
      <c r="B185" s="82"/>
      <c r="C185" s="82"/>
      <c r="E185" s="82"/>
      <c r="F185" s="83"/>
      <c r="G185" s="82"/>
      <c r="H185" s="83"/>
      <c r="I185" s="82"/>
      <c r="J185" s="82"/>
    </row>
    <row r="186">
      <c r="A186" s="82"/>
      <c r="B186" s="82"/>
      <c r="C186" s="82"/>
      <c r="E186" s="82"/>
      <c r="F186" s="83"/>
      <c r="G186" s="82"/>
      <c r="H186" s="83"/>
      <c r="I186" s="82"/>
      <c r="J186" s="82"/>
    </row>
    <row r="187">
      <c r="A187" s="82"/>
      <c r="B187" s="82"/>
      <c r="C187" s="82"/>
      <c r="E187" s="82"/>
      <c r="F187" s="83"/>
      <c r="G187" s="82"/>
      <c r="H187" s="83"/>
      <c r="I187" s="82"/>
      <c r="J187" s="82"/>
    </row>
    <row r="188">
      <c r="A188" s="82"/>
      <c r="B188" s="82"/>
      <c r="C188" s="82"/>
      <c r="E188" s="82"/>
      <c r="F188" s="83"/>
      <c r="G188" s="82"/>
      <c r="H188" s="83"/>
      <c r="I188" s="82"/>
      <c r="J188" s="82"/>
    </row>
    <row r="189">
      <c r="A189" s="82"/>
      <c r="B189" s="82"/>
      <c r="C189" s="82"/>
      <c r="E189" s="82"/>
      <c r="F189" s="83"/>
      <c r="G189" s="82"/>
      <c r="H189" s="83"/>
      <c r="I189" s="82"/>
      <c r="J189" s="82"/>
    </row>
    <row r="190">
      <c r="A190" s="82"/>
      <c r="B190" s="82"/>
      <c r="C190" s="82"/>
      <c r="E190" s="82"/>
      <c r="F190" s="83"/>
      <c r="G190" s="82"/>
      <c r="H190" s="83"/>
      <c r="I190" s="82"/>
      <c r="J190" s="82"/>
    </row>
    <row r="191">
      <c r="A191" s="82"/>
      <c r="B191" s="82"/>
      <c r="C191" s="82"/>
      <c r="E191" s="82"/>
      <c r="F191" s="83"/>
      <c r="G191" s="82"/>
      <c r="H191" s="83"/>
      <c r="I191" s="82"/>
      <c r="J191" s="82"/>
    </row>
    <row r="192">
      <c r="A192" s="82"/>
      <c r="B192" s="82"/>
      <c r="C192" s="82"/>
      <c r="E192" s="82"/>
      <c r="F192" s="83"/>
      <c r="G192" s="82"/>
      <c r="H192" s="83"/>
      <c r="I192" s="82"/>
      <c r="J192" s="82"/>
    </row>
    <row r="193">
      <c r="A193" s="82"/>
      <c r="B193" s="82"/>
      <c r="C193" s="82"/>
      <c r="E193" s="82"/>
      <c r="F193" s="83"/>
      <c r="G193" s="82"/>
      <c r="H193" s="83"/>
      <c r="I193" s="82"/>
      <c r="J193" s="82"/>
    </row>
    <row r="194">
      <c r="A194" s="82"/>
      <c r="B194" s="82"/>
      <c r="C194" s="82"/>
      <c r="E194" s="82"/>
      <c r="F194" s="83"/>
      <c r="G194" s="82"/>
      <c r="H194" s="83"/>
      <c r="I194" s="82"/>
      <c r="J194" s="82"/>
    </row>
    <row r="195">
      <c r="A195" s="82"/>
      <c r="B195" s="82"/>
      <c r="C195" s="82"/>
      <c r="E195" s="82"/>
      <c r="F195" s="83"/>
      <c r="G195" s="82"/>
      <c r="H195" s="83"/>
      <c r="I195" s="82"/>
      <c r="J195" s="82"/>
    </row>
    <row r="196">
      <c r="A196" s="82"/>
      <c r="B196" s="82"/>
      <c r="C196" s="82"/>
      <c r="E196" s="82"/>
      <c r="F196" s="83"/>
      <c r="G196" s="82"/>
      <c r="H196" s="83"/>
      <c r="I196" s="82"/>
      <c r="J196" s="82"/>
    </row>
    <row r="197">
      <c r="A197" s="82"/>
      <c r="B197" s="82"/>
      <c r="C197" s="82"/>
      <c r="E197" s="82"/>
      <c r="F197" s="83"/>
      <c r="G197" s="82"/>
      <c r="H197" s="83"/>
      <c r="I197" s="82"/>
      <c r="J197" s="82"/>
    </row>
    <row r="198">
      <c r="A198" s="82"/>
      <c r="B198" s="82"/>
      <c r="C198" s="82"/>
      <c r="E198" s="82"/>
      <c r="F198" s="83"/>
      <c r="G198" s="82"/>
      <c r="H198" s="83"/>
      <c r="I198" s="82"/>
      <c r="J198" s="82"/>
    </row>
    <row r="199">
      <c r="A199" s="82"/>
      <c r="B199" s="82"/>
      <c r="C199" s="82"/>
      <c r="E199" s="82"/>
      <c r="F199" s="83"/>
      <c r="G199" s="82"/>
      <c r="H199" s="83"/>
      <c r="I199" s="82"/>
      <c r="J199" s="82"/>
    </row>
    <row r="200">
      <c r="A200" s="82"/>
      <c r="B200" s="82"/>
      <c r="C200" s="82"/>
      <c r="E200" s="82"/>
      <c r="F200" s="83"/>
      <c r="G200" s="82"/>
      <c r="H200" s="83"/>
      <c r="I200" s="82"/>
      <c r="J200" s="82"/>
    </row>
    <row r="201">
      <c r="A201" s="82"/>
      <c r="B201" s="82"/>
      <c r="C201" s="82"/>
      <c r="E201" s="82"/>
      <c r="F201" s="83"/>
      <c r="G201" s="82"/>
      <c r="H201" s="83"/>
      <c r="I201" s="82"/>
      <c r="J201" s="82"/>
    </row>
    <row r="202">
      <c r="A202" s="82"/>
      <c r="B202" s="82"/>
      <c r="C202" s="82"/>
      <c r="E202" s="82"/>
      <c r="F202" s="83"/>
      <c r="G202" s="82"/>
      <c r="H202" s="83"/>
      <c r="I202" s="82"/>
      <c r="J202" s="82"/>
    </row>
    <row r="203">
      <c r="A203" s="82"/>
      <c r="B203" s="82"/>
      <c r="C203" s="82"/>
      <c r="E203" s="82"/>
      <c r="F203" s="83"/>
      <c r="G203" s="82"/>
      <c r="H203" s="83"/>
      <c r="I203" s="82"/>
      <c r="J203" s="82"/>
    </row>
    <row r="204">
      <c r="A204" s="82"/>
      <c r="B204" s="82"/>
      <c r="C204" s="82"/>
      <c r="E204" s="82"/>
      <c r="F204" s="83"/>
      <c r="G204" s="82"/>
      <c r="H204" s="83"/>
      <c r="I204" s="82"/>
      <c r="J204" s="82"/>
    </row>
    <row r="205">
      <c r="A205" s="82"/>
      <c r="B205" s="82"/>
      <c r="C205" s="82"/>
      <c r="E205" s="82"/>
      <c r="F205" s="83"/>
      <c r="G205" s="82"/>
      <c r="H205" s="83"/>
      <c r="I205" s="82"/>
      <c r="J205" s="82"/>
    </row>
    <row r="206">
      <c r="A206" s="82"/>
      <c r="B206" s="82"/>
      <c r="C206" s="82"/>
      <c r="E206" s="82"/>
      <c r="F206" s="83"/>
      <c r="G206" s="82"/>
      <c r="H206" s="83"/>
      <c r="I206" s="82"/>
      <c r="J206" s="82"/>
    </row>
    <row r="207">
      <c r="A207" s="82"/>
      <c r="B207" s="82"/>
      <c r="C207" s="82"/>
      <c r="E207" s="82"/>
      <c r="F207" s="83"/>
      <c r="G207" s="82"/>
      <c r="H207" s="83"/>
      <c r="I207" s="82"/>
      <c r="J207" s="82"/>
    </row>
    <row r="208">
      <c r="A208" s="82"/>
      <c r="B208" s="82"/>
      <c r="C208" s="82"/>
      <c r="E208" s="82"/>
      <c r="F208" s="83"/>
      <c r="G208" s="82"/>
      <c r="H208" s="83"/>
      <c r="I208" s="82"/>
      <c r="J208" s="82"/>
    </row>
    <row r="209">
      <c r="A209" s="82"/>
      <c r="B209" s="82"/>
      <c r="C209" s="82"/>
      <c r="E209" s="82"/>
      <c r="F209" s="83"/>
      <c r="G209" s="82"/>
      <c r="H209" s="83"/>
      <c r="I209" s="82"/>
      <c r="J209" s="82"/>
    </row>
    <row r="210">
      <c r="A210" s="82"/>
      <c r="B210" s="82"/>
      <c r="C210" s="82"/>
      <c r="E210" s="82"/>
      <c r="F210" s="83"/>
      <c r="G210" s="82"/>
      <c r="H210" s="83"/>
      <c r="I210" s="82"/>
      <c r="J210" s="82"/>
    </row>
    <row r="211">
      <c r="A211" s="82"/>
      <c r="B211" s="82"/>
      <c r="C211" s="82"/>
      <c r="E211" s="82"/>
      <c r="F211" s="83"/>
      <c r="G211" s="82"/>
      <c r="H211" s="83"/>
      <c r="I211" s="82"/>
      <c r="J211" s="82"/>
    </row>
    <row r="212">
      <c r="A212" s="82"/>
      <c r="B212" s="82"/>
      <c r="C212" s="82"/>
      <c r="E212" s="82"/>
      <c r="F212" s="83"/>
      <c r="G212" s="82"/>
      <c r="H212" s="83"/>
      <c r="I212" s="82"/>
      <c r="J212" s="82"/>
    </row>
    <row r="213">
      <c r="A213" s="82"/>
      <c r="B213" s="82"/>
      <c r="C213" s="82"/>
      <c r="E213" s="82"/>
      <c r="F213" s="83"/>
      <c r="G213" s="82"/>
      <c r="H213" s="83"/>
      <c r="I213" s="82"/>
      <c r="J213" s="82"/>
    </row>
    <row r="214">
      <c r="A214" s="82"/>
      <c r="B214" s="82"/>
      <c r="C214" s="82"/>
      <c r="E214" s="82"/>
      <c r="F214" s="83"/>
      <c r="G214" s="82"/>
      <c r="H214" s="83"/>
      <c r="I214" s="82"/>
      <c r="J214" s="82"/>
    </row>
    <row r="215">
      <c r="A215" s="82"/>
      <c r="B215" s="82"/>
      <c r="C215" s="82"/>
      <c r="E215" s="82"/>
      <c r="F215" s="83"/>
      <c r="G215" s="82"/>
      <c r="H215" s="83"/>
      <c r="I215" s="82"/>
      <c r="J215" s="82"/>
    </row>
    <row r="216">
      <c r="A216" s="82"/>
      <c r="B216" s="82"/>
      <c r="C216" s="82"/>
      <c r="E216" s="82"/>
      <c r="F216" s="83"/>
      <c r="G216" s="82"/>
      <c r="H216" s="83"/>
      <c r="I216" s="82"/>
      <c r="J216" s="82"/>
    </row>
    <row r="217">
      <c r="A217" s="82"/>
      <c r="B217" s="82"/>
      <c r="C217" s="82"/>
      <c r="E217" s="82"/>
      <c r="F217" s="83"/>
      <c r="G217" s="82"/>
      <c r="H217" s="83"/>
      <c r="I217" s="82"/>
      <c r="J217" s="82"/>
    </row>
    <row r="218">
      <c r="A218" s="82"/>
      <c r="B218" s="82"/>
      <c r="C218" s="82"/>
      <c r="E218" s="82"/>
      <c r="F218" s="83"/>
      <c r="G218" s="82"/>
      <c r="H218" s="83"/>
      <c r="I218" s="82"/>
      <c r="J218" s="82"/>
    </row>
    <row r="219">
      <c r="A219" s="82"/>
      <c r="B219" s="82"/>
      <c r="C219" s="82"/>
      <c r="E219" s="82"/>
      <c r="F219" s="83"/>
      <c r="G219" s="82"/>
      <c r="H219" s="83"/>
      <c r="I219" s="82"/>
      <c r="J219" s="82"/>
    </row>
    <row r="220">
      <c r="A220" s="82"/>
      <c r="B220" s="82"/>
      <c r="C220" s="82"/>
      <c r="E220" s="82"/>
      <c r="F220" s="83"/>
      <c r="G220" s="82"/>
      <c r="H220" s="83"/>
      <c r="I220" s="82"/>
      <c r="J220" s="82"/>
    </row>
    <row r="221">
      <c r="A221" s="82"/>
      <c r="B221" s="82"/>
      <c r="C221" s="82"/>
      <c r="E221" s="82"/>
      <c r="F221" s="83"/>
      <c r="G221" s="82"/>
      <c r="H221" s="83"/>
      <c r="I221" s="82"/>
      <c r="J221" s="82"/>
    </row>
    <row r="222">
      <c r="A222" s="82"/>
      <c r="B222" s="82"/>
      <c r="C222" s="82"/>
      <c r="E222" s="82"/>
      <c r="F222" s="83"/>
      <c r="G222" s="82"/>
      <c r="H222" s="83"/>
      <c r="I222" s="82"/>
      <c r="J222" s="82"/>
    </row>
    <row r="223">
      <c r="A223" s="82"/>
      <c r="B223" s="82"/>
      <c r="C223" s="82"/>
      <c r="E223" s="82"/>
      <c r="F223" s="83"/>
      <c r="G223" s="82"/>
      <c r="H223" s="83"/>
      <c r="I223" s="82"/>
      <c r="J223" s="82"/>
    </row>
    <row r="224">
      <c r="A224" s="82"/>
      <c r="B224" s="82"/>
      <c r="C224" s="82"/>
      <c r="E224" s="82"/>
      <c r="F224" s="83"/>
      <c r="G224" s="82"/>
      <c r="H224" s="83"/>
      <c r="I224" s="82"/>
      <c r="J224" s="82"/>
    </row>
    <row r="225">
      <c r="A225" s="82"/>
      <c r="B225" s="82"/>
      <c r="C225" s="82"/>
      <c r="E225" s="82"/>
      <c r="F225" s="83"/>
      <c r="G225" s="82"/>
      <c r="H225" s="83"/>
      <c r="I225" s="82"/>
      <c r="J225" s="82"/>
    </row>
    <row r="226">
      <c r="A226" s="82"/>
      <c r="B226" s="82"/>
      <c r="C226" s="82"/>
      <c r="E226" s="82"/>
      <c r="F226" s="83"/>
      <c r="G226" s="82"/>
      <c r="H226" s="83"/>
      <c r="I226" s="82"/>
      <c r="J226" s="82"/>
    </row>
    <row r="227">
      <c r="A227" s="82"/>
      <c r="B227" s="82"/>
      <c r="C227" s="82"/>
      <c r="E227" s="82"/>
      <c r="F227" s="83"/>
      <c r="G227" s="82"/>
      <c r="H227" s="83"/>
      <c r="I227" s="82"/>
      <c r="J227" s="82"/>
    </row>
    <row r="228">
      <c r="A228" s="82"/>
      <c r="B228" s="82"/>
      <c r="C228" s="82"/>
      <c r="E228" s="82"/>
      <c r="F228" s="83"/>
      <c r="G228" s="82"/>
      <c r="H228" s="83"/>
      <c r="I228" s="82"/>
      <c r="J228" s="82"/>
    </row>
    <row r="229">
      <c r="A229" s="82"/>
      <c r="B229" s="82"/>
      <c r="C229" s="82"/>
      <c r="E229" s="82"/>
      <c r="F229" s="83"/>
      <c r="G229" s="82"/>
      <c r="H229" s="83"/>
      <c r="I229" s="82"/>
      <c r="J229" s="82"/>
    </row>
    <row r="230">
      <c r="A230" s="82"/>
      <c r="B230" s="82"/>
      <c r="C230" s="82"/>
      <c r="E230" s="82"/>
      <c r="F230" s="83"/>
      <c r="G230" s="82"/>
      <c r="H230" s="83"/>
      <c r="I230" s="82"/>
      <c r="J230" s="82"/>
    </row>
    <row r="231">
      <c r="A231" s="82"/>
      <c r="B231" s="82"/>
      <c r="C231" s="82"/>
      <c r="E231" s="82"/>
      <c r="F231" s="83"/>
      <c r="G231" s="82"/>
      <c r="H231" s="83"/>
      <c r="I231" s="82"/>
      <c r="J231" s="82"/>
    </row>
    <row r="232">
      <c r="A232" s="82"/>
      <c r="B232" s="82"/>
      <c r="C232" s="82"/>
      <c r="E232" s="82"/>
      <c r="F232" s="83"/>
      <c r="G232" s="82"/>
      <c r="H232" s="83"/>
      <c r="I232" s="82"/>
      <c r="J232" s="82"/>
    </row>
    <row r="233">
      <c r="A233" s="82"/>
      <c r="B233" s="82"/>
      <c r="C233" s="82"/>
      <c r="E233" s="82"/>
      <c r="F233" s="83"/>
      <c r="G233" s="82"/>
      <c r="H233" s="83"/>
      <c r="I233" s="82"/>
      <c r="J233" s="82"/>
    </row>
    <row r="234">
      <c r="A234" s="82"/>
      <c r="B234" s="82"/>
      <c r="C234" s="82"/>
      <c r="E234" s="82"/>
      <c r="F234" s="83"/>
      <c r="G234" s="82"/>
      <c r="H234" s="83"/>
      <c r="I234" s="82"/>
      <c r="J234" s="82"/>
    </row>
    <row r="235">
      <c r="A235" s="82"/>
      <c r="B235" s="82"/>
      <c r="C235" s="82"/>
      <c r="E235" s="82"/>
      <c r="F235" s="83"/>
      <c r="G235" s="82"/>
      <c r="H235" s="83"/>
      <c r="I235" s="82"/>
      <c r="J235" s="82"/>
    </row>
    <row r="236">
      <c r="A236" s="82"/>
      <c r="B236" s="82"/>
      <c r="C236" s="82"/>
      <c r="E236" s="82"/>
      <c r="F236" s="83"/>
      <c r="G236" s="82"/>
      <c r="H236" s="83"/>
      <c r="I236" s="82"/>
      <c r="J236" s="82"/>
    </row>
    <row r="237">
      <c r="A237" s="82"/>
      <c r="B237" s="82"/>
      <c r="C237" s="82"/>
      <c r="E237" s="82"/>
      <c r="F237" s="83"/>
      <c r="G237" s="82"/>
      <c r="H237" s="83"/>
      <c r="I237" s="82"/>
      <c r="J237" s="82"/>
    </row>
    <row r="238">
      <c r="A238" s="82"/>
      <c r="B238" s="82"/>
      <c r="C238" s="82"/>
      <c r="E238" s="82"/>
      <c r="F238" s="83"/>
      <c r="G238" s="82"/>
      <c r="H238" s="83"/>
      <c r="I238" s="82"/>
      <c r="J238" s="82"/>
    </row>
    <row r="239">
      <c r="A239" s="82"/>
      <c r="B239" s="82"/>
      <c r="C239" s="82"/>
      <c r="E239" s="82"/>
      <c r="F239" s="83"/>
      <c r="G239" s="82"/>
      <c r="H239" s="83"/>
      <c r="I239" s="82"/>
      <c r="J239" s="82"/>
    </row>
    <row r="240">
      <c r="A240" s="82"/>
      <c r="B240" s="82"/>
      <c r="C240" s="82"/>
      <c r="E240" s="82"/>
      <c r="F240" s="83"/>
      <c r="G240" s="82"/>
      <c r="H240" s="83"/>
      <c r="I240" s="82"/>
      <c r="J240" s="82"/>
    </row>
    <row r="241">
      <c r="A241" s="82"/>
      <c r="B241" s="82"/>
      <c r="C241" s="82"/>
      <c r="E241" s="82"/>
      <c r="F241" s="83"/>
      <c r="G241" s="82"/>
      <c r="H241" s="83"/>
      <c r="I241" s="82"/>
      <c r="J241" s="82"/>
    </row>
    <row r="242">
      <c r="A242" s="82"/>
      <c r="B242" s="82"/>
      <c r="C242" s="82"/>
      <c r="E242" s="82"/>
      <c r="F242" s="83"/>
      <c r="G242" s="82"/>
      <c r="H242" s="83"/>
      <c r="I242" s="82"/>
      <c r="J242" s="82"/>
    </row>
    <row r="243">
      <c r="A243" s="82"/>
      <c r="B243" s="82"/>
      <c r="C243" s="82"/>
      <c r="E243" s="82"/>
      <c r="F243" s="83"/>
      <c r="G243" s="82"/>
      <c r="H243" s="83"/>
      <c r="I243" s="82"/>
      <c r="J243" s="82"/>
    </row>
    <row r="244">
      <c r="A244" s="82"/>
      <c r="B244" s="82"/>
      <c r="C244" s="82"/>
      <c r="E244" s="82"/>
      <c r="F244" s="83"/>
      <c r="G244" s="82"/>
      <c r="H244" s="83"/>
      <c r="I244" s="82"/>
      <c r="J244" s="82"/>
    </row>
    <row r="245">
      <c r="A245" s="82"/>
      <c r="B245" s="82"/>
      <c r="C245" s="82"/>
      <c r="E245" s="82"/>
      <c r="F245" s="83"/>
      <c r="G245" s="82"/>
      <c r="H245" s="83"/>
      <c r="I245" s="82"/>
      <c r="J245" s="82"/>
    </row>
    <row r="246">
      <c r="A246" s="82"/>
      <c r="B246" s="82"/>
      <c r="C246" s="82"/>
      <c r="E246" s="82"/>
      <c r="F246" s="83"/>
      <c r="G246" s="82"/>
      <c r="H246" s="83"/>
      <c r="I246" s="82"/>
      <c r="J246" s="82"/>
    </row>
    <row r="247">
      <c r="A247" s="82"/>
      <c r="B247" s="82"/>
      <c r="C247" s="82"/>
      <c r="E247" s="82"/>
      <c r="F247" s="83"/>
      <c r="G247" s="82"/>
      <c r="H247" s="83"/>
      <c r="I247" s="82"/>
      <c r="J247" s="82"/>
    </row>
    <row r="248">
      <c r="A248" s="82"/>
      <c r="B248" s="82"/>
      <c r="C248" s="82"/>
      <c r="E248" s="82"/>
      <c r="F248" s="83"/>
      <c r="G248" s="82"/>
      <c r="H248" s="83"/>
      <c r="I248" s="82"/>
      <c r="J248" s="82"/>
    </row>
    <row r="249">
      <c r="A249" s="82"/>
      <c r="B249" s="82"/>
      <c r="C249" s="82"/>
      <c r="E249" s="82"/>
      <c r="F249" s="83"/>
      <c r="G249" s="82"/>
      <c r="H249" s="83"/>
      <c r="I249" s="82"/>
      <c r="J249" s="82"/>
    </row>
    <row r="250">
      <c r="A250" s="82"/>
      <c r="B250" s="82"/>
      <c r="C250" s="82"/>
      <c r="E250" s="82"/>
      <c r="F250" s="83"/>
      <c r="G250" s="82"/>
      <c r="H250" s="83"/>
      <c r="I250" s="82"/>
      <c r="J250" s="82"/>
    </row>
    <row r="251">
      <c r="A251" s="82"/>
      <c r="B251" s="82"/>
      <c r="C251" s="82"/>
      <c r="E251" s="82"/>
      <c r="F251" s="83"/>
      <c r="G251" s="82"/>
      <c r="H251" s="83"/>
      <c r="I251" s="82"/>
      <c r="J251" s="82"/>
    </row>
    <row r="252">
      <c r="A252" s="82"/>
      <c r="B252" s="82"/>
      <c r="C252" s="82"/>
      <c r="E252" s="82"/>
      <c r="F252" s="83"/>
      <c r="G252" s="82"/>
      <c r="H252" s="83"/>
      <c r="I252" s="82"/>
      <c r="J252" s="82"/>
    </row>
    <row r="253">
      <c r="A253" s="82"/>
      <c r="B253" s="82"/>
      <c r="C253" s="82"/>
      <c r="E253" s="82"/>
      <c r="F253" s="83"/>
      <c r="G253" s="82"/>
      <c r="H253" s="83"/>
      <c r="I253" s="82"/>
      <c r="J253" s="82"/>
    </row>
    <row r="254">
      <c r="A254" s="82"/>
      <c r="B254" s="82"/>
      <c r="C254" s="82"/>
      <c r="E254" s="82"/>
      <c r="F254" s="83"/>
      <c r="G254" s="82"/>
      <c r="H254" s="83"/>
      <c r="I254" s="82"/>
      <c r="J254" s="82"/>
    </row>
    <row r="255">
      <c r="A255" s="82"/>
      <c r="B255" s="82"/>
      <c r="C255" s="82"/>
      <c r="E255" s="82"/>
      <c r="F255" s="83"/>
      <c r="G255" s="82"/>
      <c r="H255" s="83"/>
      <c r="I255" s="82"/>
      <c r="J255" s="82"/>
    </row>
    <row r="256">
      <c r="A256" s="82"/>
      <c r="B256" s="82"/>
      <c r="C256" s="82"/>
      <c r="E256" s="82"/>
      <c r="F256" s="83"/>
      <c r="G256" s="82"/>
      <c r="H256" s="83"/>
      <c r="I256" s="82"/>
      <c r="J256" s="82"/>
    </row>
    <row r="257">
      <c r="A257" s="82"/>
      <c r="B257" s="82"/>
      <c r="C257" s="82"/>
      <c r="E257" s="82"/>
      <c r="F257" s="83"/>
      <c r="G257" s="82"/>
      <c r="H257" s="83"/>
      <c r="I257" s="82"/>
      <c r="J257" s="82"/>
    </row>
    <row r="258">
      <c r="A258" s="82"/>
      <c r="B258" s="82"/>
      <c r="C258" s="82"/>
      <c r="E258" s="82"/>
      <c r="F258" s="83"/>
      <c r="G258" s="82"/>
      <c r="H258" s="83"/>
      <c r="I258" s="82"/>
      <c r="J258" s="82"/>
    </row>
    <row r="259">
      <c r="A259" s="82"/>
      <c r="B259" s="82"/>
      <c r="C259" s="82"/>
      <c r="E259" s="82"/>
      <c r="F259" s="83"/>
      <c r="G259" s="82"/>
      <c r="H259" s="83"/>
      <c r="I259" s="82"/>
      <c r="J259" s="82"/>
    </row>
    <row r="260">
      <c r="A260" s="82"/>
      <c r="B260" s="82"/>
      <c r="C260" s="82"/>
      <c r="E260" s="82"/>
      <c r="F260" s="83"/>
      <c r="G260" s="82"/>
      <c r="H260" s="83"/>
      <c r="I260" s="82"/>
      <c r="J260" s="82"/>
    </row>
    <row r="261">
      <c r="A261" s="82"/>
      <c r="B261" s="82"/>
      <c r="C261" s="82"/>
      <c r="E261" s="82"/>
      <c r="F261" s="83"/>
      <c r="G261" s="82"/>
      <c r="H261" s="83"/>
      <c r="I261" s="82"/>
      <c r="J261" s="82"/>
    </row>
    <row r="262">
      <c r="A262" s="82"/>
      <c r="B262" s="82"/>
      <c r="C262" s="82"/>
      <c r="E262" s="82"/>
      <c r="F262" s="83"/>
      <c r="G262" s="82"/>
      <c r="H262" s="83"/>
      <c r="I262" s="82"/>
      <c r="J262" s="82"/>
    </row>
    <row r="263">
      <c r="A263" s="82"/>
      <c r="B263" s="82"/>
      <c r="C263" s="82"/>
      <c r="E263" s="82"/>
      <c r="F263" s="83"/>
      <c r="G263" s="82"/>
      <c r="H263" s="83"/>
      <c r="I263" s="82"/>
      <c r="J263" s="82"/>
    </row>
    <row r="264">
      <c r="A264" s="82"/>
      <c r="B264" s="82"/>
      <c r="C264" s="82"/>
      <c r="E264" s="82"/>
      <c r="F264" s="83"/>
      <c r="G264" s="82"/>
      <c r="H264" s="83"/>
      <c r="I264" s="82"/>
      <c r="J264" s="82"/>
    </row>
    <row r="265">
      <c r="A265" s="82"/>
      <c r="B265" s="82"/>
      <c r="C265" s="82"/>
      <c r="E265" s="82"/>
      <c r="F265" s="83"/>
      <c r="G265" s="82"/>
      <c r="H265" s="83"/>
      <c r="I265" s="82"/>
      <c r="J265" s="82"/>
    </row>
    <row r="266">
      <c r="A266" s="82"/>
      <c r="B266" s="82"/>
      <c r="C266" s="82"/>
      <c r="E266" s="82"/>
      <c r="F266" s="83"/>
      <c r="G266" s="82"/>
      <c r="H266" s="83"/>
      <c r="I266" s="82"/>
      <c r="J266" s="82"/>
    </row>
    <row r="267">
      <c r="A267" s="82"/>
      <c r="B267" s="82"/>
      <c r="C267" s="82"/>
      <c r="E267" s="82"/>
      <c r="F267" s="83"/>
      <c r="G267" s="82"/>
      <c r="H267" s="83"/>
      <c r="I267" s="82"/>
      <c r="J267" s="82"/>
    </row>
    <row r="268">
      <c r="A268" s="82"/>
      <c r="B268" s="82"/>
      <c r="C268" s="82"/>
      <c r="E268" s="82"/>
      <c r="F268" s="83"/>
      <c r="G268" s="82"/>
      <c r="H268" s="83"/>
      <c r="I268" s="82"/>
      <c r="J268" s="82"/>
    </row>
    <row r="269">
      <c r="A269" s="82"/>
      <c r="B269" s="82"/>
      <c r="C269" s="82"/>
      <c r="E269" s="82"/>
      <c r="F269" s="83"/>
      <c r="G269" s="82"/>
      <c r="H269" s="83"/>
      <c r="I269" s="82"/>
      <c r="J269" s="82"/>
    </row>
    <row r="270">
      <c r="A270" s="82"/>
      <c r="B270" s="82"/>
      <c r="C270" s="82"/>
      <c r="E270" s="82"/>
      <c r="F270" s="83"/>
      <c r="G270" s="82"/>
      <c r="H270" s="83"/>
      <c r="I270" s="82"/>
      <c r="J270" s="82"/>
    </row>
    <row r="271">
      <c r="A271" s="82"/>
      <c r="B271" s="82"/>
      <c r="C271" s="82"/>
      <c r="E271" s="82"/>
      <c r="F271" s="83"/>
      <c r="G271" s="82"/>
      <c r="H271" s="83"/>
      <c r="I271" s="82"/>
      <c r="J271" s="82"/>
    </row>
    <row r="272">
      <c r="A272" s="82"/>
      <c r="B272" s="82"/>
      <c r="C272" s="82"/>
      <c r="E272" s="82"/>
      <c r="F272" s="83"/>
      <c r="G272" s="82"/>
      <c r="H272" s="83"/>
      <c r="I272" s="82"/>
      <c r="J272" s="82"/>
    </row>
    <row r="273">
      <c r="A273" s="82"/>
      <c r="B273" s="82"/>
      <c r="C273" s="82"/>
      <c r="E273" s="82"/>
      <c r="F273" s="83"/>
      <c r="G273" s="82"/>
      <c r="H273" s="83"/>
      <c r="I273" s="82"/>
      <c r="J273" s="82"/>
    </row>
    <row r="274">
      <c r="A274" s="82"/>
      <c r="B274" s="82"/>
      <c r="C274" s="82"/>
      <c r="E274" s="82"/>
      <c r="F274" s="83"/>
      <c r="G274" s="82"/>
      <c r="H274" s="83"/>
      <c r="I274" s="82"/>
      <c r="J274" s="82"/>
    </row>
    <row r="275">
      <c r="A275" s="82"/>
      <c r="B275" s="82"/>
      <c r="C275" s="82"/>
      <c r="E275" s="82"/>
      <c r="F275" s="83"/>
      <c r="G275" s="82"/>
      <c r="H275" s="83"/>
      <c r="I275" s="82"/>
      <c r="J275" s="82"/>
    </row>
    <row r="276">
      <c r="A276" s="82"/>
      <c r="B276" s="82"/>
      <c r="C276" s="82"/>
      <c r="E276" s="82"/>
      <c r="F276" s="83"/>
      <c r="G276" s="82"/>
      <c r="H276" s="83"/>
      <c r="I276" s="82"/>
      <c r="J276" s="82"/>
    </row>
    <row r="277">
      <c r="A277" s="82"/>
      <c r="B277" s="82"/>
      <c r="C277" s="82"/>
      <c r="E277" s="82"/>
      <c r="F277" s="83"/>
      <c r="G277" s="82"/>
      <c r="H277" s="83"/>
      <c r="I277" s="82"/>
      <c r="J277" s="82"/>
    </row>
    <row r="278">
      <c r="A278" s="82"/>
      <c r="B278" s="82"/>
      <c r="C278" s="82"/>
      <c r="E278" s="82"/>
      <c r="F278" s="83"/>
      <c r="G278" s="82"/>
      <c r="H278" s="83"/>
      <c r="I278" s="82"/>
      <c r="J278" s="82"/>
    </row>
    <row r="279">
      <c r="A279" s="82"/>
      <c r="B279" s="82"/>
      <c r="C279" s="82"/>
      <c r="E279" s="82"/>
      <c r="F279" s="83"/>
      <c r="G279" s="82"/>
      <c r="H279" s="83"/>
      <c r="I279" s="82"/>
      <c r="J279" s="82"/>
    </row>
    <row r="280">
      <c r="A280" s="82"/>
      <c r="B280" s="82"/>
      <c r="C280" s="82"/>
      <c r="E280" s="82"/>
      <c r="F280" s="83"/>
      <c r="G280" s="82"/>
      <c r="H280" s="83"/>
      <c r="I280" s="82"/>
      <c r="J280" s="82"/>
    </row>
    <row r="281">
      <c r="A281" s="82"/>
      <c r="B281" s="82"/>
      <c r="C281" s="82"/>
      <c r="E281" s="82"/>
      <c r="F281" s="83"/>
      <c r="G281" s="82"/>
      <c r="H281" s="83"/>
      <c r="I281" s="82"/>
      <c r="J281" s="82"/>
    </row>
    <row r="282">
      <c r="A282" s="82"/>
      <c r="B282" s="82"/>
      <c r="C282" s="82"/>
      <c r="E282" s="82"/>
      <c r="F282" s="83"/>
      <c r="G282" s="82"/>
      <c r="H282" s="83"/>
      <c r="I282" s="82"/>
      <c r="J282" s="82"/>
    </row>
    <row r="283">
      <c r="A283" s="82"/>
      <c r="B283" s="82"/>
      <c r="C283" s="82"/>
      <c r="E283" s="82"/>
      <c r="F283" s="83"/>
      <c r="G283" s="82"/>
      <c r="H283" s="83"/>
      <c r="I283" s="82"/>
      <c r="J283" s="82"/>
    </row>
    <row r="284">
      <c r="A284" s="82"/>
      <c r="B284" s="82"/>
      <c r="C284" s="82"/>
      <c r="E284" s="82"/>
      <c r="F284" s="83"/>
      <c r="G284" s="82"/>
      <c r="H284" s="83"/>
      <c r="I284" s="82"/>
      <c r="J284" s="82"/>
    </row>
    <row r="285">
      <c r="A285" s="82"/>
      <c r="B285" s="82"/>
      <c r="C285" s="82"/>
      <c r="E285" s="82"/>
      <c r="F285" s="83"/>
      <c r="G285" s="82"/>
      <c r="H285" s="83"/>
      <c r="I285" s="82"/>
      <c r="J285" s="82"/>
    </row>
    <row r="286">
      <c r="A286" s="82"/>
      <c r="B286" s="82"/>
      <c r="C286" s="82"/>
      <c r="E286" s="82"/>
      <c r="F286" s="83"/>
      <c r="G286" s="82"/>
      <c r="H286" s="83"/>
      <c r="I286" s="82"/>
      <c r="J286" s="82"/>
    </row>
    <row r="287">
      <c r="A287" s="82"/>
      <c r="B287" s="82"/>
      <c r="C287" s="82"/>
      <c r="E287" s="82"/>
      <c r="F287" s="83"/>
      <c r="G287" s="82"/>
      <c r="H287" s="83"/>
      <c r="I287" s="82"/>
      <c r="J287" s="82"/>
    </row>
    <row r="288">
      <c r="A288" s="82"/>
      <c r="B288" s="82"/>
      <c r="C288" s="82"/>
      <c r="E288" s="82"/>
      <c r="F288" s="83"/>
      <c r="G288" s="82"/>
      <c r="H288" s="83"/>
      <c r="I288" s="82"/>
      <c r="J288" s="82"/>
    </row>
    <row r="289">
      <c r="A289" s="82"/>
      <c r="B289" s="82"/>
      <c r="C289" s="82"/>
      <c r="E289" s="82"/>
      <c r="F289" s="83"/>
      <c r="G289" s="82"/>
      <c r="H289" s="83"/>
      <c r="I289" s="82"/>
      <c r="J289" s="82"/>
    </row>
    <row r="290">
      <c r="A290" s="82"/>
      <c r="B290" s="82"/>
      <c r="C290" s="82"/>
      <c r="E290" s="82"/>
      <c r="F290" s="83"/>
      <c r="G290" s="82"/>
      <c r="H290" s="83"/>
      <c r="I290" s="82"/>
      <c r="J290" s="82"/>
    </row>
    <row r="291">
      <c r="A291" s="82"/>
      <c r="B291" s="82"/>
      <c r="C291" s="82"/>
      <c r="E291" s="82"/>
      <c r="F291" s="83"/>
      <c r="G291" s="82"/>
      <c r="H291" s="83"/>
      <c r="I291" s="82"/>
      <c r="J291" s="82"/>
    </row>
    <row r="292">
      <c r="A292" s="82"/>
      <c r="B292" s="82"/>
      <c r="C292" s="82"/>
      <c r="E292" s="82"/>
      <c r="F292" s="83"/>
      <c r="G292" s="82"/>
      <c r="H292" s="83"/>
      <c r="I292" s="82"/>
      <c r="J292" s="82"/>
    </row>
    <row r="293">
      <c r="A293" s="82"/>
      <c r="B293" s="82"/>
      <c r="C293" s="82"/>
      <c r="E293" s="82"/>
      <c r="F293" s="83"/>
      <c r="G293" s="82"/>
      <c r="H293" s="83"/>
      <c r="I293" s="82"/>
      <c r="J293" s="82"/>
    </row>
    <row r="294">
      <c r="A294" s="82"/>
      <c r="B294" s="82"/>
      <c r="C294" s="82"/>
      <c r="E294" s="82"/>
      <c r="F294" s="83"/>
      <c r="G294" s="82"/>
      <c r="H294" s="83"/>
      <c r="I294" s="82"/>
      <c r="J294" s="82"/>
    </row>
    <row r="295">
      <c r="A295" s="82"/>
      <c r="B295" s="82"/>
      <c r="C295" s="82"/>
      <c r="E295" s="82"/>
      <c r="F295" s="83"/>
      <c r="G295" s="82"/>
      <c r="H295" s="83"/>
      <c r="I295" s="82"/>
      <c r="J295" s="82"/>
    </row>
    <row r="296">
      <c r="A296" s="82"/>
      <c r="B296" s="82"/>
      <c r="C296" s="82"/>
      <c r="E296" s="82"/>
      <c r="F296" s="83"/>
      <c r="G296" s="82"/>
      <c r="H296" s="83"/>
      <c r="I296" s="82"/>
      <c r="J296" s="82"/>
    </row>
    <row r="297">
      <c r="A297" s="82"/>
      <c r="B297" s="82"/>
      <c r="C297" s="82"/>
      <c r="E297" s="82"/>
      <c r="F297" s="83"/>
      <c r="G297" s="82"/>
      <c r="H297" s="83"/>
      <c r="I297" s="82"/>
      <c r="J297" s="82"/>
    </row>
    <row r="298">
      <c r="A298" s="82"/>
      <c r="B298" s="82"/>
      <c r="C298" s="82"/>
      <c r="E298" s="82"/>
      <c r="F298" s="83"/>
      <c r="G298" s="82"/>
      <c r="H298" s="83"/>
      <c r="I298" s="82"/>
      <c r="J298" s="82"/>
    </row>
    <row r="299">
      <c r="A299" s="82"/>
      <c r="B299" s="82"/>
      <c r="C299" s="82"/>
      <c r="E299" s="82"/>
      <c r="F299" s="83"/>
      <c r="G299" s="82"/>
      <c r="H299" s="83"/>
      <c r="I299" s="82"/>
      <c r="J299" s="82"/>
    </row>
    <row r="300">
      <c r="A300" s="82"/>
      <c r="B300" s="82"/>
      <c r="C300" s="82"/>
      <c r="E300" s="82"/>
      <c r="F300" s="83"/>
      <c r="G300" s="82"/>
      <c r="H300" s="83"/>
      <c r="I300" s="82"/>
      <c r="J300" s="82"/>
    </row>
    <row r="301">
      <c r="A301" s="82"/>
      <c r="B301" s="82"/>
      <c r="C301" s="82"/>
      <c r="E301" s="82"/>
      <c r="F301" s="83"/>
      <c r="G301" s="82"/>
      <c r="H301" s="83"/>
      <c r="I301" s="82"/>
      <c r="J301" s="82"/>
    </row>
    <row r="302">
      <c r="A302" s="82"/>
      <c r="B302" s="82"/>
      <c r="C302" s="82"/>
      <c r="E302" s="82"/>
      <c r="F302" s="83"/>
      <c r="G302" s="82"/>
      <c r="H302" s="83"/>
      <c r="I302" s="82"/>
      <c r="J302" s="82"/>
    </row>
    <row r="303">
      <c r="A303" s="82"/>
      <c r="B303" s="82"/>
      <c r="C303" s="82"/>
      <c r="E303" s="82"/>
      <c r="F303" s="83"/>
      <c r="G303" s="82"/>
      <c r="H303" s="83"/>
      <c r="I303" s="82"/>
      <c r="J303" s="82"/>
    </row>
    <row r="304">
      <c r="A304" s="82"/>
      <c r="B304" s="82"/>
      <c r="C304" s="82"/>
      <c r="E304" s="82"/>
      <c r="F304" s="83"/>
      <c r="G304" s="82"/>
      <c r="H304" s="83"/>
      <c r="I304" s="82"/>
      <c r="J304" s="82"/>
    </row>
    <row r="305">
      <c r="A305" s="82"/>
      <c r="B305" s="82"/>
      <c r="C305" s="82"/>
      <c r="E305" s="82"/>
      <c r="F305" s="83"/>
      <c r="G305" s="82"/>
      <c r="H305" s="83"/>
      <c r="I305" s="82"/>
      <c r="J305" s="82"/>
    </row>
    <row r="306">
      <c r="A306" s="82"/>
      <c r="B306" s="82"/>
      <c r="C306" s="82"/>
      <c r="E306" s="82"/>
      <c r="F306" s="83"/>
      <c r="G306" s="82"/>
      <c r="H306" s="83"/>
      <c r="I306" s="82"/>
      <c r="J306" s="82"/>
    </row>
    <row r="307">
      <c r="A307" s="82"/>
      <c r="B307" s="82"/>
      <c r="C307" s="82"/>
      <c r="E307" s="82"/>
      <c r="F307" s="83"/>
      <c r="G307" s="82"/>
      <c r="H307" s="83"/>
      <c r="I307" s="82"/>
      <c r="J307" s="82"/>
    </row>
    <row r="308">
      <c r="A308" s="82"/>
      <c r="B308" s="82"/>
      <c r="C308" s="82"/>
      <c r="E308" s="82"/>
      <c r="F308" s="83"/>
      <c r="G308" s="82"/>
      <c r="H308" s="83"/>
      <c r="I308" s="82"/>
      <c r="J308" s="82"/>
    </row>
    <row r="309">
      <c r="A309" s="82"/>
      <c r="B309" s="82"/>
      <c r="C309" s="82"/>
      <c r="E309" s="82"/>
      <c r="F309" s="83"/>
      <c r="G309" s="82"/>
      <c r="H309" s="83"/>
      <c r="I309" s="82"/>
      <c r="J309" s="82"/>
    </row>
    <row r="310">
      <c r="A310" s="82"/>
      <c r="B310" s="82"/>
      <c r="C310" s="82"/>
      <c r="E310" s="82"/>
      <c r="F310" s="83"/>
      <c r="G310" s="82"/>
      <c r="H310" s="83"/>
      <c r="I310" s="82"/>
      <c r="J310" s="82"/>
    </row>
    <row r="311">
      <c r="A311" s="82"/>
      <c r="B311" s="82"/>
      <c r="C311" s="82"/>
      <c r="E311" s="82"/>
      <c r="F311" s="83"/>
      <c r="G311" s="82"/>
      <c r="H311" s="83"/>
      <c r="I311" s="82"/>
      <c r="J311" s="82"/>
    </row>
    <row r="312">
      <c r="A312" s="82"/>
      <c r="B312" s="82"/>
      <c r="C312" s="82"/>
      <c r="E312" s="82"/>
      <c r="F312" s="83"/>
      <c r="G312" s="82"/>
      <c r="H312" s="83"/>
      <c r="I312" s="82"/>
      <c r="J312" s="82"/>
    </row>
    <row r="313">
      <c r="A313" s="82"/>
      <c r="B313" s="82"/>
      <c r="C313" s="82"/>
      <c r="E313" s="82"/>
      <c r="F313" s="83"/>
      <c r="G313" s="82"/>
      <c r="H313" s="83"/>
      <c r="I313" s="82"/>
      <c r="J313" s="82"/>
    </row>
    <row r="314">
      <c r="A314" s="82"/>
      <c r="B314" s="82"/>
      <c r="C314" s="82"/>
      <c r="E314" s="82"/>
      <c r="F314" s="83"/>
      <c r="G314" s="82"/>
      <c r="H314" s="83"/>
      <c r="I314" s="82"/>
      <c r="J314" s="82"/>
    </row>
    <row r="315">
      <c r="A315" s="82"/>
      <c r="B315" s="82"/>
      <c r="C315" s="82"/>
      <c r="E315" s="82"/>
      <c r="F315" s="83"/>
      <c r="G315" s="82"/>
      <c r="H315" s="83"/>
      <c r="I315" s="82"/>
      <c r="J315" s="82"/>
    </row>
    <row r="316">
      <c r="A316" s="82"/>
      <c r="B316" s="82"/>
      <c r="C316" s="82"/>
      <c r="E316" s="82"/>
      <c r="F316" s="83"/>
      <c r="G316" s="82"/>
      <c r="H316" s="83"/>
      <c r="I316" s="82"/>
      <c r="J316" s="82"/>
    </row>
    <row r="317">
      <c r="A317" s="82"/>
      <c r="B317" s="82"/>
      <c r="C317" s="82"/>
      <c r="E317" s="82"/>
      <c r="F317" s="83"/>
      <c r="G317" s="82"/>
      <c r="H317" s="83"/>
      <c r="I317" s="82"/>
      <c r="J317" s="82"/>
    </row>
    <row r="318">
      <c r="A318" s="82"/>
      <c r="B318" s="82"/>
      <c r="C318" s="82"/>
      <c r="E318" s="82"/>
      <c r="F318" s="83"/>
      <c r="G318" s="82"/>
      <c r="H318" s="83"/>
      <c r="I318" s="82"/>
      <c r="J318" s="82"/>
    </row>
    <row r="319">
      <c r="A319" s="82"/>
      <c r="B319" s="82"/>
      <c r="C319" s="82"/>
      <c r="E319" s="82"/>
      <c r="F319" s="83"/>
      <c r="G319" s="82"/>
      <c r="H319" s="83"/>
      <c r="I319" s="82"/>
      <c r="J319" s="82"/>
    </row>
    <row r="320">
      <c r="A320" s="82"/>
      <c r="B320" s="82"/>
      <c r="C320" s="82"/>
      <c r="E320" s="82"/>
      <c r="F320" s="83"/>
      <c r="G320" s="82"/>
      <c r="H320" s="83"/>
      <c r="I320" s="82"/>
      <c r="J320" s="82"/>
    </row>
    <row r="321">
      <c r="A321" s="82"/>
      <c r="B321" s="82"/>
      <c r="C321" s="82"/>
      <c r="E321" s="82"/>
      <c r="F321" s="83"/>
      <c r="G321" s="82"/>
      <c r="H321" s="83"/>
      <c r="I321" s="82"/>
      <c r="J321" s="82"/>
    </row>
    <row r="322">
      <c r="A322" s="82"/>
      <c r="B322" s="82"/>
      <c r="C322" s="82"/>
      <c r="E322" s="82"/>
      <c r="F322" s="83"/>
      <c r="G322" s="82"/>
      <c r="H322" s="83"/>
      <c r="I322" s="82"/>
      <c r="J322" s="82"/>
    </row>
    <row r="323">
      <c r="A323" s="82"/>
      <c r="B323" s="82"/>
      <c r="C323" s="82"/>
      <c r="E323" s="82"/>
      <c r="F323" s="83"/>
      <c r="G323" s="82"/>
      <c r="H323" s="83"/>
      <c r="I323" s="82"/>
      <c r="J323" s="82"/>
    </row>
    <row r="324">
      <c r="A324" s="82"/>
      <c r="B324" s="82"/>
      <c r="C324" s="82"/>
      <c r="E324" s="82"/>
      <c r="F324" s="83"/>
      <c r="G324" s="82"/>
      <c r="H324" s="83"/>
      <c r="I324" s="82"/>
      <c r="J324" s="82"/>
    </row>
    <row r="325">
      <c r="A325" s="82"/>
      <c r="B325" s="82"/>
      <c r="C325" s="82"/>
      <c r="E325" s="82"/>
      <c r="F325" s="83"/>
      <c r="G325" s="82"/>
      <c r="H325" s="83"/>
      <c r="I325" s="82"/>
      <c r="J325" s="82"/>
    </row>
    <row r="326">
      <c r="A326" s="82"/>
      <c r="B326" s="82"/>
      <c r="C326" s="82"/>
      <c r="E326" s="82"/>
      <c r="F326" s="83"/>
      <c r="G326" s="82"/>
      <c r="H326" s="83"/>
      <c r="I326" s="82"/>
      <c r="J326" s="82"/>
    </row>
    <row r="327">
      <c r="A327" s="82"/>
      <c r="B327" s="82"/>
      <c r="C327" s="82"/>
      <c r="E327" s="82"/>
      <c r="F327" s="83"/>
      <c r="G327" s="82"/>
      <c r="H327" s="83"/>
      <c r="I327" s="82"/>
      <c r="J327" s="82"/>
    </row>
    <row r="328">
      <c r="A328" s="82"/>
      <c r="B328" s="82"/>
      <c r="C328" s="82"/>
      <c r="E328" s="82"/>
      <c r="F328" s="83"/>
      <c r="G328" s="82"/>
      <c r="H328" s="83"/>
      <c r="I328" s="82"/>
      <c r="J328" s="82"/>
    </row>
    <row r="329">
      <c r="A329" s="82"/>
      <c r="B329" s="82"/>
      <c r="C329" s="82"/>
      <c r="E329" s="82"/>
      <c r="F329" s="83"/>
      <c r="G329" s="82"/>
      <c r="H329" s="83"/>
      <c r="I329" s="82"/>
      <c r="J329" s="82"/>
    </row>
    <row r="330">
      <c r="A330" s="82"/>
      <c r="B330" s="82"/>
      <c r="C330" s="82"/>
      <c r="E330" s="82"/>
      <c r="F330" s="83"/>
      <c r="G330" s="82"/>
      <c r="H330" s="83"/>
      <c r="I330" s="82"/>
      <c r="J330" s="82"/>
    </row>
    <row r="331">
      <c r="A331" s="82"/>
      <c r="B331" s="82"/>
      <c r="C331" s="82"/>
      <c r="E331" s="82"/>
      <c r="F331" s="83"/>
      <c r="G331" s="82"/>
      <c r="H331" s="83"/>
      <c r="I331" s="82"/>
      <c r="J331" s="82"/>
    </row>
    <row r="332">
      <c r="A332" s="82"/>
      <c r="B332" s="82"/>
      <c r="C332" s="82"/>
      <c r="E332" s="82"/>
      <c r="F332" s="83"/>
      <c r="G332" s="82"/>
      <c r="H332" s="83"/>
      <c r="I332" s="82"/>
      <c r="J332" s="82"/>
    </row>
    <row r="333">
      <c r="A333" s="82"/>
      <c r="B333" s="82"/>
      <c r="C333" s="82"/>
      <c r="E333" s="82"/>
      <c r="F333" s="83"/>
      <c r="G333" s="82"/>
      <c r="H333" s="83"/>
      <c r="I333" s="82"/>
      <c r="J333" s="82"/>
    </row>
    <row r="334">
      <c r="A334" s="82"/>
      <c r="B334" s="82"/>
      <c r="C334" s="82"/>
      <c r="E334" s="82"/>
      <c r="F334" s="83"/>
      <c r="G334" s="82"/>
      <c r="H334" s="83"/>
      <c r="I334" s="82"/>
      <c r="J334" s="82"/>
    </row>
    <row r="335">
      <c r="A335" s="82"/>
      <c r="B335" s="82"/>
      <c r="C335" s="82"/>
      <c r="E335" s="82"/>
      <c r="F335" s="83"/>
      <c r="G335" s="82"/>
      <c r="H335" s="83"/>
      <c r="I335" s="82"/>
      <c r="J335" s="82"/>
    </row>
    <row r="336">
      <c r="A336" s="82"/>
      <c r="B336" s="82"/>
      <c r="C336" s="82"/>
      <c r="E336" s="82"/>
      <c r="F336" s="83"/>
      <c r="G336" s="82"/>
      <c r="H336" s="83"/>
      <c r="I336" s="82"/>
      <c r="J336" s="82"/>
    </row>
    <row r="337">
      <c r="A337" s="82"/>
      <c r="B337" s="82"/>
      <c r="C337" s="82"/>
      <c r="E337" s="82"/>
      <c r="F337" s="83"/>
      <c r="G337" s="82"/>
      <c r="H337" s="83"/>
      <c r="I337" s="82"/>
      <c r="J337" s="82"/>
    </row>
    <row r="338">
      <c r="A338" s="82"/>
      <c r="B338" s="82"/>
      <c r="C338" s="82"/>
      <c r="E338" s="82"/>
      <c r="F338" s="83"/>
      <c r="G338" s="82"/>
      <c r="H338" s="83"/>
      <c r="I338" s="82"/>
      <c r="J338" s="82"/>
    </row>
    <row r="339">
      <c r="A339" s="82"/>
      <c r="B339" s="82"/>
      <c r="C339" s="82"/>
      <c r="E339" s="82"/>
      <c r="F339" s="83"/>
      <c r="G339" s="82"/>
      <c r="H339" s="83"/>
      <c r="I339" s="82"/>
      <c r="J339" s="82"/>
    </row>
    <row r="340">
      <c r="A340" s="82"/>
      <c r="B340" s="82"/>
      <c r="C340" s="82"/>
      <c r="E340" s="82"/>
      <c r="F340" s="83"/>
      <c r="G340" s="82"/>
      <c r="H340" s="83"/>
      <c r="I340" s="82"/>
      <c r="J340" s="82"/>
    </row>
    <row r="341">
      <c r="A341" s="82"/>
      <c r="B341" s="82"/>
      <c r="C341" s="82"/>
      <c r="E341" s="82"/>
      <c r="F341" s="83"/>
      <c r="G341" s="82"/>
      <c r="H341" s="83"/>
      <c r="I341" s="82"/>
      <c r="J341" s="82"/>
    </row>
    <row r="342">
      <c r="A342" s="82"/>
      <c r="B342" s="82"/>
      <c r="C342" s="82"/>
      <c r="E342" s="82"/>
      <c r="F342" s="83"/>
      <c r="G342" s="82"/>
      <c r="H342" s="83"/>
      <c r="I342" s="82"/>
      <c r="J342" s="82"/>
    </row>
    <row r="343">
      <c r="A343" s="82"/>
      <c r="B343" s="82"/>
      <c r="C343" s="82"/>
      <c r="E343" s="82"/>
      <c r="F343" s="83"/>
      <c r="G343" s="82"/>
      <c r="H343" s="83"/>
      <c r="I343" s="82"/>
      <c r="J343" s="82"/>
    </row>
    <row r="344">
      <c r="A344" s="82"/>
      <c r="B344" s="82"/>
      <c r="C344" s="82"/>
      <c r="E344" s="82"/>
      <c r="F344" s="83"/>
      <c r="G344" s="82"/>
      <c r="H344" s="83"/>
      <c r="I344" s="82"/>
      <c r="J344" s="82"/>
    </row>
    <row r="345">
      <c r="A345" s="82"/>
      <c r="B345" s="82"/>
      <c r="C345" s="82"/>
      <c r="E345" s="82"/>
      <c r="F345" s="83"/>
      <c r="G345" s="82"/>
      <c r="H345" s="83"/>
      <c r="I345" s="82"/>
      <c r="J345" s="82"/>
    </row>
    <row r="346">
      <c r="A346" s="82"/>
      <c r="B346" s="82"/>
      <c r="C346" s="82"/>
      <c r="E346" s="82"/>
      <c r="F346" s="83"/>
      <c r="G346" s="82"/>
      <c r="H346" s="83"/>
      <c r="I346" s="82"/>
      <c r="J346" s="82"/>
    </row>
    <row r="347">
      <c r="A347" s="82"/>
      <c r="B347" s="82"/>
      <c r="C347" s="82"/>
      <c r="E347" s="82"/>
      <c r="F347" s="83"/>
      <c r="G347" s="82"/>
      <c r="H347" s="83"/>
      <c r="I347" s="82"/>
      <c r="J347" s="82"/>
    </row>
    <row r="348">
      <c r="A348" s="82"/>
      <c r="B348" s="82"/>
      <c r="C348" s="82"/>
      <c r="E348" s="82"/>
      <c r="F348" s="83"/>
      <c r="G348" s="82"/>
      <c r="H348" s="83"/>
      <c r="I348" s="82"/>
      <c r="J348" s="82"/>
    </row>
    <row r="349">
      <c r="A349" s="82"/>
      <c r="B349" s="82"/>
      <c r="C349" s="82"/>
      <c r="E349" s="82"/>
      <c r="F349" s="83"/>
      <c r="G349" s="82"/>
      <c r="H349" s="83"/>
      <c r="I349" s="82"/>
      <c r="J349" s="82"/>
    </row>
    <row r="350">
      <c r="A350" s="82"/>
      <c r="B350" s="82"/>
      <c r="C350" s="82"/>
      <c r="E350" s="82"/>
      <c r="F350" s="83"/>
      <c r="G350" s="82"/>
      <c r="H350" s="83"/>
      <c r="I350" s="82"/>
      <c r="J350" s="82"/>
    </row>
    <row r="351">
      <c r="A351" s="82"/>
      <c r="B351" s="82"/>
      <c r="C351" s="82"/>
      <c r="E351" s="82"/>
      <c r="F351" s="83"/>
      <c r="G351" s="82"/>
      <c r="H351" s="83"/>
      <c r="I351" s="82"/>
      <c r="J351" s="82"/>
    </row>
    <row r="352">
      <c r="A352" s="82"/>
      <c r="B352" s="82"/>
      <c r="C352" s="82"/>
      <c r="E352" s="82"/>
      <c r="F352" s="83"/>
      <c r="G352" s="82"/>
      <c r="H352" s="83"/>
      <c r="I352" s="82"/>
      <c r="J352" s="82"/>
    </row>
    <row r="353">
      <c r="A353" s="82"/>
      <c r="B353" s="82"/>
      <c r="C353" s="82"/>
      <c r="E353" s="82"/>
      <c r="F353" s="83"/>
      <c r="G353" s="82"/>
      <c r="H353" s="83"/>
      <c r="I353" s="82"/>
      <c r="J353" s="82"/>
    </row>
    <row r="354">
      <c r="A354" s="82"/>
      <c r="B354" s="82"/>
      <c r="C354" s="82"/>
      <c r="E354" s="82"/>
      <c r="F354" s="83"/>
      <c r="G354" s="82"/>
      <c r="H354" s="83"/>
      <c r="I354" s="82"/>
      <c r="J354" s="82"/>
    </row>
    <row r="355">
      <c r="A355" s="82"/>
      <c r="B355" s="82"/>
      <c r="C355" s="82"/>
      <c r="E355" s="82"/>
      <c r="F355" s="83"/>
      <c r="G355" s="82"/>
      <c r="H355" s="83"/>
      <c r="I355" s="82"/>
      <c r="J355" s="82"/>
    </row>
    <row r="356">
      <c r="A356" s="82"/>
      <c r="B356" s="82"/>
      <c r="C356" s="82"/>
      <c r="E356" s="82"/>
      <c r="F356" s="83"/>
      <c r="G356" s="82"/>
      <c r="H356" s="83"/>
      <c r="I356" s="82"/>
      <c r="J356" s="82"/>
    </row>
    <row r="357">
      <c r="A357" s="82"/>
      <c r="B357" s="82"/>
      <c r="C357" s="82"/>
      <c r="E357" s="82"/>
      <c r="F357" s="83"/>
      <c r="G357" s="82"/>
      <c r="H357" s="83"/>
      <c r="I357" s="82"/>
      <c r="J357" s="82"/>
    </row>
    <row r="358">
      <c r="A358" s="82"/>
      <c r="B358" s="82"/>
      <c r="C358" s="82"/>
      <c r="E358" s="82"/>
      <c r="F358" s="83"/>
      <c r="G358" s="82"/>
      <c r="H358" s="83"/>
      <c r="I358" s="82"/>
      <c r="J358" s="82"/>
    </row>
    <row r="359">
      <c r="A359" s="82"/>
      <c r="B359" s="82"/>
      <c r="C359" s="82"/>
      <c r="E359" s="82"/>
      <c r="F359" s="83"/>
      <c r="G359" s="82"/>
      <c r="H359" s="83"/>
      <c r="I359" s="82"/>
      <c r="J359" s="82"/>
    </row>
    <row r="360">
      <c r="A360" s="82"/>
      <c r="B360" s="82"/>
      <c r="C360" s="82"/>
      <c r="E360" s="82"/>
      <c r="F360" s="83"/>
      <c r="G360" s="82"/>
      <c r="H360" s="83"/>
      <c r="I360" s="82"/>
      <c r="J360" s="82"/>
    </row>
    <row r="361">
      <c r="A361" s="82"/>
      <c r="B361" s="82"/>
      <c r="C361" s="82"/>
      <c r="E361" s="82"/>
      <c r="F361" s="83"/>
      <c r="G361" s="82"/>
      <c r="H361" s="83"/>
      <c r="I361" s="82"/>
      <c r="J361" s="82"/>
    </row>
    <row r="362">
      <c r="A362" s="82"/>
      <c r="B362" s="82"/>
      <c r="C362" s="82"/>
      <c r="E362" s="82"/>
      <c r="F362" s="83"/>
      <c r="G362" s="82"/>
      <c r="H362" s="83"/>
      <c r="I362" s="82"/>
      <c r="J362" s="82"/>
    </row>
    <row r="363">
      <c r="A363" s="82"/>
      <c r="B363" s="82"/>
      <c r="C363" s="82"/>
      <c r="E363" s="82"/>
      <c r="F363" s="83"/>
      <c r="G363" s="82"/>
      <c r="H363" s="83"/>
      <c r="I363" s="82"/>
      <c r="J363" s="82"/>
    </row>
    <row r="364">
      <c r="A364" s="82"/>
      <c r="B364" s="82"/>
      <c r="C364" s="82"/>
      <c r="E364" s="82"/>
      <c r="F364" s="83"/>
      <c r="G364" s="82"/>
      <c r="H364" s="83"/>
      <c r="I364" s="82"/>
      <c r="J364" s="82"/>
    </row>
    <row r="365">
      <c r="A365" s="82"/>
      <c r="B365" s="82"/>
      <c r="C365" s="82"/>
      <c r="E365" s="82"/>
      <c r="F365" s="83"/>
      <c r="G365" s="82"/>
      <c r="H365" s="83"/>
      <c r="I365" s="82"/>
      <c r="J365" s="82"/>
    </row>
    <row r="366">
      <c r="A366" s="82"/>
      <c r="B366" s="82"/>
      <c r="C366" s="82"/>
      <c r="E366" s="82"/>
      <c r="F366" s="83"/>
      <c r="G366" s="82"/>
      <c r="H366" s="83"/>
      <c r="I366" s="82"/>
      <c r="J366" s="82"/>
    </row>
    <row r="367">
      <c r="A367" s="82"/>
      <c r="B367" s="82"/>
      <c r="C367" s="82"/>
      <c r="E367" s="82"/>
      <c r="F367" s="83"/>
      <c r="G367" s="82"/>
      <c r="H367" s="83"/>
      <c r="I367" s="82"/>
      <c r="J367" s="82"/>
    </row>
    <row r="368">
      <c r="A368" s="82"/>
      <c r="B368" s="82"/>
      <c r="C368" s="82"/>
      <c r="E368" s="82"/>
      <c r="F368" s="83"/>
      <c r="G368" s="82"/>
      <c r="H368" s="83"/>
      <c r="I368" s="82"/>
      <c r="J368" s="82"/>
    </row>
    <row r="369">
      <c r="A369" s="82"/>
      <c r="B369" s="82"/>
      <c r="C369" s="82"/>
      <c r="E369" s="82"/>
      <c r="F369" s="83"/>
      <c r="G369" s="82"/>
      <c r="H369" s="83"/>
      <c r="I369" s="82"/>
      <c r="J369" s="82"/>
    </row>
    <row r="370">
      <c r="A370" s="82"/>
      <c r="B370" s="82"/>
      <c r="C370" s="82"/>
      <c r="E370" s="82"/>
      <c r="F370" s="83"/>
      <c r="G370" s="82"/>
      <c r="H370" s="83"/>
      <c r="I370" s="82"/>
      <c r="J370" s="82"/>
    </row>
    <row r="371">
      <c r="A371" s="82"/>
      <c r="B371" s="82"/>
      <c r="C371" s="82"/>
      <c r="E371" s="82"/>
      <c r="F371" s="83"/>
      <c r="G371" s="82"/>
      <c r="H371" s="83"/>
      <c r="I371" s="82"/>
      <c r="J371" s="82"/>
    </row>
    <row r="372">
      <c r="A372" s="82"/>
      <c r="B372" s="82"/>
      <c r="C372" s="82"/>
      <c r="E372" s="82"/>
      <c r="F372" s="83"/>
      <c r="G372" s="82"/>
      <c r="H372" s="83"/>
      <c r="I372" s="82"/>
      <c r="J372" s="82"/>
    </row>
    <row r="373">
      <c r="A373" s="82"/>
      <c r="B373" s="82"/>
      <c r="C373" s="82"/>
      <c r="E373" s="82"/>
      <c r="F373" s="83"/>
      <c r="G373" s="82"/>
      <c r="H373" s="83"/>
      <c r="I373" s="82"/>
      <c r="J373" s="82"/>
    </row>
    <row r="374">
      <c r="A374" s="82"/>
      <c r="B374" s="82"/>
      <c r="C374" s="82"/>
      <c r="E374" s="82"/>
      <c r="F374" s="83"/>
      <c r="G374" s="82"/>
      <c r="H374" s="83"/>
      <c r="I374" s="82"/>
      <c r="J374" s="82"/>
    </row>
    <row r="375">
      <c r="A375" s="82"/>
      <c r="B375" s="82"/>
      <c r="C375" s="82"/>
      <c r="E375" s="82"/>
      <c r="F375" s="83"/>
      <c r="G375" s="82"/>
      <c r="H375" s="83"/>
      <c r="I375" s="82"/>
      <c r="J375" s="82"/>
    </row>
    <row r="376">
      <c r="A376" s="82"/>
      <c r="B376" s="82"/>
      <c r="C376" s="82"/>
      <c r="E376" s="82"/>
      <c r="F376" s="83"/>
      <c r="G376" s="82"/>
      <c r="H376" s="83"/>
      <c r="I376" s="82"/>
      <c r="J376" s="82"/>
    </row>
    <row r="377">
      <c r="A377" s="82"/>
      <c r="B377" s="82"/>
      <c r="C377" s="82"/>
      <c r="E377" s="82"/>
      <c r="F377" s="83"/>
      <c r="G377" s="82"/>
      <c r="H377" s="83"/>
      <c r="I377" s="82"/>
      <c r="J377" s="82"/>
    </row>
    <row r="378">
      <c r="A378" s="82"/>
      <c r="B378" s="82"/>
      <c r="C378" s="82"/>
      <c r="E378" s="82"/>
      <c r="F378" s="83"/>
      <c r="G378" s="82"/>
      <c r="H378" s="83"/>
      <c r="I378" s="82"/>
      <c r="J378" s="82"/>
    </row>
    <row r="379">
      <c r="A379" s="82"/>
      <c r="B379" s="82"/>
      <c r="C379" s="82"/>
      <c r="E379" s="82"/>
      <c r="F379" s="83"/>
      <c r="G379" s="82"/>
      <c r="H379" s="83"/>
      <c r="I379" s="82"/>
      <c r="J379" s="82"/>
    </row>
    <row r="380">
      <c r="A380" s="82"/>
      <c r="B380" s="82"/>
      <c r="C380" s="82"/>
      <c r="E380" s="82"/>
      <c r="F380" s="83"/>
      <c r="G380" s="82"/>
      <c r="H380" s="83"/>
      <c r="I380" s="82"/>
      <c r="J380" s="82"/>
    </row>
    <row r="381">
      <c r="A381" s="82"/>
      <c r="B381" s="82"/>
      <c r="C381" s="82"/>
      <c r="E381" s="82"/>
      <c r="F381" s="83"/>
      <c r="G381" s="82"/>
      <c r="H381" s="83"/>
      <c r="I381" s="82"/>
      <c r="J381" s="82"/>
    </row>
    <row r="382">
      <c r="A382" s="82"/>
      <c r="B382" s="82"/>
      <c r="C382" s="82"/>
      <c r="E382" s="82"/>
      <c r="F382" s="83"/>
      <c r="G382" s="82"/>
      <c r="H382" s="83"/>
      <c r="I382" s="82"/>
      <c r="J382" s="82"/>
    </row>
    <row r="383">
      <c r="A383" s="82"/>
      <c r="B383" s="82"/>
      <c r="C383" s="82"/>
      <c r="E383" s="82"/>
      <c r="F383" s="83"/>
      <c r="G383" s="82"/>
      <c r="H383" s="83"/>
      <c r="I383" s="82"/>
      <c r="J383" s="82"/>
    </row>
    <row r="384">
      <c r="A384" s="82"/>
      <c r="B384" s="82"/>
      <c r="C384" s="82"/>
      <c r="E384" s="82"/>
      <c r="F384" s="83"/>
      <c r="G384" s="82"/>
      <c r="H384" s="83"/>
      <c r="I384" s="82"/>
      <c r="J384" s="82"/>
    </row>
    <row r="385">
      <c r="A385" s="82"/>
      <c r="B385" s="82"/>
      <c r="C385" s="82"/>
      <c r="E385" s="82"/>
      <c r="F385" s="83"/>
      <c r="G385" s="82"/>
      <c r="H385" s="83"/>
      <c r="I385" s="82"/>
      <c r="J385" s="82"/>
    </row>
    <row r="386">
      <c r="A386" s="82"/>
      <c r="B386" s="82"/>
      <c r="C386" s="82"/>
      <c r="E386" s="82"/>
      <c r="F386" s="83"/>
      <c r="G386" s="82"/>
      <c r="H386" s="83"/>
      <c r="I386" s="82"/>
      <c r="J386" s="82"/>
    </row>
    <row r="387">
      <c r="A387" s="82"/>
      <c r="B387" s="82"/>
      <c r="C387" s="82"/>
      <c r="E387" s="82"/>
      <c r="F387" s="83"/>
      <c r="G387" s="82"/>
      <c r="H387" s="83"/>
      <c r="I387" s="82"/>
      <c r="J387" s="82"/>
    </row>
    <row r="388">
      <c r="A388" s="82"/>
      <c r="B388" s="82"/>
      <c r="C388" s="82"/>
      <c r="E388" s="82"/>
      <c r="F388" s="83"/>
      <c r="G388" s="82"/>
      <c r="H388" s="83"/>
      <c r="I388" s="82"/>
      <c r="J388" s="82"/>
    </row>
    <row r="389">
      <c r="A389" s="82"/>
      <c r="B389" s="82"/>
      <c r="C389" s="82"/>
      <c r="E389" s="82"/>
      <c r="F389" s="83"/>
      <c r="G389" s="82"/>
      <c r="H389" s="83"/>
      <c r="I389" s="82"/>
      <c r="J389" s="82"/>
    </row>
    <row r="390">
      <c r="A390" s="82"/>
      <c r="B390" s="82"/>
      <c r="C390" s="82"/>
      <c r="E390" s="82"/>
      <c r="F390" s="83"/>
      <c r="G390" s="82"/>
      <c r="H390" s="83"/>
      <c r="I390" s="82"/>
      <c r="J390" s="82"/>
    </row>
    <row r="391">
      <c r="A391" s="82"/>
      <c r="B391" s="82"/>
      <c r="C391" s="82"/>
      <c r="E391" s="82"/>
      <c r="F391" s="83"/>
      <c r="G391" s="82"/>
      <c r="H391" s="83"/>
      <c r="I391" s="82"/>
      <c r="J391" s="82"/>
    </row>
    <row r="392">
      <c r="A392" s="82"/>
      <c r="B392" s="82"/>
      <c r="C392" s="82"/>
      <c r="E392" s="82"/>
      <c r="F392" s="83"/>
      <c r="G392" s="82"/>
      <c r="H392" s="83"/>
      <c r="I392" s="82"/>
      <c r="J392" s="82"/>
    </row>
    <row r="393">
      <c r="A393" s="82"/>
      <c r="B393" s="82"/>
      <c r="C393" s="82"/>
      <c r="E393" s="82"/>
      <c r="F393" s="83"/>
      <c r="G393" s="82"/>
      <c r="H393" s="83"/>
      <c r="I393" s="82"/>
      <c r="J393" s="82"/>
    </row>
    <row r="394">
      <c r="A394" s="82"/>
      <c r="B394" s="82"/>
      <c r="C394" s="82"/>
      <c r="E394" s="82"/>
      <c r="F394" s="83"/>
      <c r="G394" s="82"/>
      <c r="H394" s="83"/>
      <c r="I394" s="82"/>
      <c r="J394" s="82"/>
    </row>
    <row r="395">
      <c r="A395" s="82"/>
      <c r="B395" s="82"/>
      <c r="C395" s="82"/>
      <c r="E395" s="82"/>
      <c r="F395" s="83"/>
      <c r="G395" s="82"/>
      <c r="H395" s="83"/>
      <c r="I395" s="82"/>
      <c r="J395" s="82"/>
    </row>
    <row r="396">
      <c r="A396" s="82"/>
      <c r="B396" s="82"/>
      <c r="C396" s="82"/>
      <c r="E396" s="82"/>
      <c r="F396" s="83"/>
      <c r="G396" s="82"/>
      <c r="H396" s="83"/>
      <c r="I396" s="82"/>
      <c r="J396" s="82"/>
    </row>
    <row r="397">
      <c r="A397" s="82"/>
      <c r="B397" s="82"/>
      <c r="C397" s="82"/>
      <c r="E397" s="82"/>
      <c r="F397" s="83"/>
      <c r="G397" s="82"/>
      <c r="H397" s="83"/>
      <c r="I397" s="82"/>
      <c r="J397" s="82"/>
    </row>
    <row r="398">
      <c r="A398" s="82"/>
      <c r="B398" s="82"/>
      <c r="C398" s="82"/>
      <c r="E398" s="82"/>
      <c r="F398" s="83"/>
      <c r="G398" s="82"/>
      <c r="H398" s="83"/>
      <c r="I398" s="82"/>
      <c r="J398" s="82"/>
    </row>
    <row r="399">
      <c r="A399" s="82"/>
      <c r="B399" s="82"/>
      <c r="C399" s="82"/>
      <c r="E399" s="82"/>
      <c r="F399" s="83"/>
      <c r="G399" s="82"/>
      <c r="H399" s="83"/>
      <c r="I399" s="82"/>
      <c r="J399" s="82"/>
    </row>
    <row r="400">
      <c r="A400" s="82"/>
      <c r="B400" s="82"/>
      <c r="C400" s="82"/>
      <c r="E400" s="82"/>
      <c r="F400" s="83"/>
      <c r="G400" s="82"/>
      <c r="H400" s="83"/>
      <c r="I400" s="82"/>
      <c r="J400" s="82"/>
    </row>
    <row r="401">
      <c r="A401" s="82"/>
      <c r="B401" s="82"/>
      <c r="C401" s="82"/>
      <c r="E401" s="82"/>
      <c r="F401" s="83"/>
      <c r="G401" s="82"/>
      <c r="H401" s="83"/>
      <c r="I401" s="82"/>
      <c r="J401" s="82"/>
    </row>
    <row r="402">
      <c r="A402" s="82"/>
      <c r="B402" s="82"/>
      <c r="C402" s="82"/>
      <c r="E402" s="82"/>
      <c r="F402" s="83"/>
      <c r="G402" s="82"/>
      <c r="H402" s="83"/>
      <c r="I402" s="82"/>
      <c r="J402" s="82"/>
    </row>
    <row r="403">
      <c r="A403" s="82"/>
      <c r="B403" s="82"/>
      <c r="C403" s="82"/>
      <c r="E403" s="82"/>
      <c r="F403" s="83"/>
      <c r="G403" s="82"/>
      <c r="H403" s="83"/>
      <c r="I403" s="82"/>
      <c r="J403" s="82"/>
    </row>
    <row r="404">
      <c r="A404" s="82"/>
      <c r="B404" s="82"/>
      <c r="C404" s="82"/>
      <c r="E404" s="82"/>
      <c r="F404" s="83"/>
      <c r="G404" s="82"/>
      <c r="H404" s="83"/>
      <c r="I404" s="82"/>
      <c r="J404" s="82"/>
    </row>
    <row r="405">
      <c r="A405" s="82"/>
      <c r="B405" s="82"/>
      <c r="C405" s="82"/>
      <c r="E405" s="82"/>
      <c r="F405" s="83"/>
      <c r="G405" s="82"/>
      <c r="H405" s="83"/>
      <c r="I405" s="82"/>
      <c r="J405" s="82"/>
    </row>
    <row r="406">
      <c r="A406" s="82"/>
      <c r="B406" s="82"/>
      <c r="C406" s="82"/>
      <c r="E406" s="82"/>
      <c r="F406" s="83"/>
      <c r="G406" s="82"/>
      <c r="H406" s="83"/>
      <c r="I406" s="82"/>
      <c r="J406" s="82"/>
    </row>
    <row r="407">
      <c r="A407" s="82"/>
      <c r="B407" s="82"/>
      <c r="C407" s="82"/>
      <c r="E407" s="82"/>
      <c r="F407" s="83"/>
      <c r="G407" s="82"/>
      <c r="H407" s="83"/>
      <c r="I407" s="82"/>
      <c r="J407" s="82"/>
    </row>
    <row r="408">
      <c r="A408" s="82"/>
      <c r="B408" s="82"/>
      <c r="C408" s="82"/>
      <c r="E408" s="82"/>
      <c r="F408" s="83"/>
      <c r="G408" s="82"/>
      <c r="H408" s="83"/>
      <c r="I408" s="82"/>
      <c r="J408" s="82"/>
    </row>
    <row r="409">
      <c r="A409" s="82"/>
      <c r="B409" s="82"/>
      <c r="C409" s="82"/>
      <c r="E409" s="82"/>
      <c r="F409" s="83"/>
      <c r="G409" s="82"/>
      <c r="H409" s="83"/>
      <c r="I409" s="82"/>
      <c r="J409" s="82"/>
    </row>
    <row r="410">
      <c r="A410" s="82"/>
      <c r="B410" s="82"/>
      <c r="C410" s="82"/>
      <c r="E410" s="82"/>
      <c r="F410" s="83"/>
      <c r="G410" s="82"/>
      <c r="H410" s="83"/>
      <c r="I410" s="82"/>
      <c r="J410" s="82"/>
    </row>
    <row r="411">
      <c r="A411" s="82"/>
      <c r="B411" s="82"/>
      <c r="C411" s="82"/>
      <c r="E411" s="82"/>
      <c r="F411" s="83"/>
      <c r="G411" s="82"/>
      <c r="H411" s="83"/>
      <c r="I411" s="82"/>
      <c r="J411" s="82"/>
    </row>
    <row r="412">
      <c r="A412" s="82"/>
      <c r="B412" s="82"/>
      <c r="C412" s="82"/>
      <c r="E412" s="82"/>
      <c r="F412" s="83"/>
      <c r="G412" s="82"/>
      <c r="H412" s="83"/>
      <c r="I412" s="82"/>
      <c r="J412" s="82"/>
    </row>
    <row r="413">
      <c r="A413" s="82"/>
      <c r="B413" s="82"/>
      <c r="C413" s="82"/>
      <c r="E413" s="82"/>
      <c r="F413" s="83"/>
      <c r="G413" s="82"/>
      <c r="H413" s="83"/>
      <c r="I413" s="82"/>
      <c r="J413" s="82"/>
    </row>
    <row r="414">
      <c r="A414" s="82"/>
      <c r="B414" s="82"/>
      <c r="C414" s="82"/>
      <c r="E414" s="82"/>
      <c r="F414" s="83"/>
      <c r="G414" s="82"/>
      <c r="H414" s="83"/>
      <c r="I414" s="82"/>
      <c r="J414" s="82"/>
    </row>
    <row r="415">
      <c r="A415" s="82"/>
      <c r="B415" s="82"/>
      <c r="C415" s="82"/>
      <c r="E415" s="82"/>
      <c r="F415" s="83"/>
      <c r="G415" s="82"/>
      <c r="H415" s="83"/>
      <c r="I415" s="82"/>
      <c r="J415" s="82"/>
    </row>
    <row r="416">
      <c r="A416" s="82"/>
      <c r="B416" s="82"/>
      <c r="C416" s="82"/>
      <c r="E416" s="82"/>
      <c r="F416" s="83"/>
      <c r="G416" s="82"/>
      <c r="H416" s="83"/>
      <c r="I416" s="82"/>
      <c r="J416" s="82"/>
    </row>
    <row r="417">
      <c r="A417" s="82"/>
      <c r="B417" s="82"/>
      <c r="C417" s="82"/>
      <c r="E417" s="82"/>
      <c r="F417" s="83"/>
      <c r="G417" s="82"/>
      <c r="H417" s="83"/>
      <c r="I417" s="82"/>
      <c r="J417" s="82"/>
    </row>
    <row r="418">
      <c r="A418" s="82"/>
      <c r="B418" s="82"/>
      <c r="C418" s="82"/>
      <c r="E418" s="82"/>
      <c r="F418" s="83"/>
      <c r="G418" s="82"/>
      <c r="H418" s="83"/>
      <c r="I418" s="82"/>
      <c r="J418" s="82"/>
    </row>
    <row r="419">
      <c r="A419" s="82"/>
      <c r="B419" s="82"/>
      <c r="C419" s="82"/>
      <c r="E419" s="82"/>
      <c r="F419" s="83"/>
      <c r="G419" s="82"/>
      <c r="H419" s="83"/>
      <c r="I419" s="82"/>
      <c r="J419" s="82"/>
    </row>
    <row r="420">
      <c r="A420" s="82"/>
      <c r="B420" s="82"/>
      <c r="C420" s="82"/>
      <c r="E420" s="82"/>
      <c r="F420" s="83"/>
      <c r="G420" s="82"/>
      <c r="H420" s="83"/>
      <c r="I420" s="82"/>
      <c r="J420" s="82"/>
    </row>
    <row r="421">
      <c r="A421" s="82"/>
      <c r="B421" s="82"/>
      <c r="C421" s="82"/>
      <c r="E421" s="82"/>
      <c r="F421" s="83"/>
      <c r="G421" s="82"/>
      <c r="H421" s="83"/>
      <c r="I421" s="82"/>
      <c r="J421" s="82"/>
    </row>
    <row r="422">
      <c r="A422" s="82"/>
      <c r="B422" s="82"/>
      <c r="C422" s="82"/>
      <c r="E422" s="82"/>
      <c r="F422" s="83"/>
      <c r="G422" s="82"/>
      <c r="H422" s="83"/>
      <c r="I422" s="82"/>
      <c r="J422" s="82"/>
    </row>
    <row r="423">
      <c r="A423" s="82"/>
      <c r="B423" s="82"/>
      <c r="C423" s="82"/>
      <c r="E423" s="82"/>
      <c r="F423" s="83"/>
      <c r="G423" s="82"/>
      <c r="H423" s="83"/>
      <c r="I423" s="82"/>
      <c r="J423" s="82"/>
    </row>
    <row r="424">
      <c r="A424" s="82"/>
      <c r="B424" s="82"/>
      <c r="C424" s="82"/>
      <c r="E424" s="82"/>
      <c r="F424" s="83"/>
      <c r="G424" s="82"/>
      <c r="H424" s="83"/>
      <c r="I424" s="82"/>
      <c r="J424" s="82"/>
    </row>
    <row r="425">
      <c r="A425" s="82"/>
      <c r="B425" s="82"/>
      <c r="C425" s="82"/>
      <c r="E425" s="82"/>
      <c r="F425" s="83"/>
      <c r="G425" s="82"/>
      <c r="H425" s="83"/>
      <c r="I425" s="82"/>
      <c r="J425" s="82"/>
    </row>
    <row r="426">
      <c r="A426" s="82"/>
      <c r="B426" s="82"/>
      <c r="C426" s="82"/>
      <c r="E426" s="82"/>
      <c r="F426" s="83"/>
      <c r="G426" s="82"/>
      <c r="H426" s="83"/>
      <c r="I426" s="82"/>
      <c r="J426" s="82"/>
    </row>
    <row r="427">
      <c r="A427" s="82"/>
      <c r="B427" s="82"/>
      <c r="C427" s="82"/>
      <c r="E427" s="82"/>
      <c r="F427" s="83"/>
      <c r="G427" s="82"/>
      <c r="H427" s="83"/>
      <c r="I427" s="82"/>
      <c r="J427" s="82"/>
    </row>
    <row r="428">
      <c r="A428" s="82"/>
      <c r="B428" s="82"/>
      <c r="C428" s="82"/>
      <c r="E428" s="82"/>
      <c r="F428" s="83"/>
      <c r="G428" s="82"/>
      <c r="H428" s="83"/>
      <c r="I428" s="82"/>
      <c r="J428" s="82"/>
    </row>
    <row r="429">
      <c r="A429" s="82"/>
      <c r="B429" s="82"/>
      <c r="C429" s="82"/>
      <c r="E429" s="82"/>
      <c r="F429" s="83"/>
      <c r="G429" s="82"/>
      <c r="H429" s="83"/>
      <c r="I429" s="82"/>
      <c r="J429" s="82"/>
    </row>
    <row r="430">
      <c r="A430" s="82"/>
      <c r="B430" s="82"/>
      <c r="C430" s="82"/>
      <c r="E430" s="82"/>
      <c r="F430" s="83"/>
      <c r="G430" s="82"/>
      <c r="H430" s="83"/>
      <c r="I430" s="82"/>
      <c r="J430" s="82"/>
    </row>
    <row r="431">
      <c r="A431" s="82"/>
      <c r="B431" s="82"/>
      <c r="C431" s="82"/>
      <c r="E431" s="82"/>
      <c r="F431" s="83"/>
      <c r="G431" s="82"/>
      <c r="H431" s="83"/>
      <c r="I431" s="82"/>
      <c r="J431" s="82"/>
    </row>
    <row r="432">
      <c r="A432" s="82"/>
      <c r="B432" s="82"/>
      <c r="C432" s="82"/>
      <c r="E432" s="82"/>
      <c r="F432" s="83"/>
      <c r="G432" s="82"/>
      <c r="H432" s="83"/>
      <c r="I432" s="82"/>
      <c r="J432" s="82"/>
    </row>
    <row r="433">
      <c r="A433" s="82"/>
      <c r="B433" s="82"/>
      <c r="C433" s="82"/>
      <c r="E433" s="82"/>
      <c r="F433" s="83"/>
      <c r="G433" s="82"/>
      <c r="H433" s="83"/>
      <c r="I433" s="82"/>
      <c r="J433" s="82"/>
    </row>
    <row r="434">
      <c r="A434" s="82"/>
      <c r="B434" s="82"/>
      <c r="C434" s="82"/>
      <c r="E434" s="82"/>
      <c r="F434" s="83"/>
      <c r="G434" s="82"/>
      <c r="H434" s="83"/>
      <c r="I434" s="82"/>
      <c r="J434" s="82"/>
    </row>
    <row r="435">
      <c r="A435" s="82"/>
      <c r="B435" s="82"/>
      <c r="C435" s="82"/>
      <c r="E435" s="82"/>
      <c r="F435" s="83"/>
      <c r="G435" s="82"/>
      <c r="H435" s="83"/>
      <c r="I435" s="82"/>
      <c r="J435" s="82"/>
    </row>
    <row r="436">
      <c r="A436" s="82"/>
      <c r="B436" s="82"/>
      <c r="C436" s="82"/>
      <c r="E436" s="82"/>
      <c r="F436" s="83"/>
      <c r="G436" s="82"/>
      <c r="H436" s="83"/>
      <c r="I436" s="82"/>
      <c r="J436" s="82"/>
    </row>
    <row r="437">
      <c r="A437" s="82"/>
      <c r="B437" s="82"/>
      <c r="C437" s="82"/>
      <c r="E437" s="82"/>
      <c r="F437" s="83"/>
      <c r="G437" s="82"/>
      <c r="H437" s="83"/>
      <c r="I437" s="82"/>
      <c r="J437" s="82"/>
    </row>
    <row r="438">
      <c r="A438" s="82"/>
      <c r="B438" s="82"/>
      <c r="C438" s="82"/>
      <c r="E438" s="82"/>
      <c r="F438" s="83"/>
      <c r="G438" s="82"/>
      <c r="H438" s="83"/>
      <c r="I438" s="82"/>
      <c r="J438" s="82"/>
    </row>
    <row r="439">
      <c r="A439" s="82"/>
      <c r="B439" s="82"/>
      <c r="C439" s="82"/>
      <c r="E439" s="82"/>
      <c r="F439" s="83"/>
      <c r="G439" s="82"/>
      <c r="H439" s="83"/>
      <c r="I439" s="82"/>
      <c r="J439" s="82"/>
    </row>
    <row r="440">
      <c r="A440" s="82"/>
      <c r="B440" s="82"/>
      <c r="C440" s="82"/>
      <c r="E440" s="82"/>
      <c r="F440" s="83"/>
      <c r="G440" s="82"/>
      <c r="H440" s="83"/>
      <c r="I440" s="82"/>
      <c r="J440" s="82"/>
    </row>
    <row r="441">
      <c r="A441" s="82"/>
      <c r="B441" s="82"/>
      <c r="C441" s="82"/>
      <c r="E441" s="82"/>
      <c r="F441" s="83"/>
      <c r="G441" s="82"/>
      <c r="H441" s="83"/>
      <c r="I441" s="82"/>
      <c r="J441" s="82"/>
    </row>
    <row r="442">
      <c r="A442" s="82"/>
      <c r="B442" s="82"/>
      <c r="C442" s="82"/>
      <c r="E442" s="82"/>
      <c r="F442" s="83"/>
      <c r="G442" s="82"/>
      <c r="H442" s="83"/>
      <c r="I442" s="82"/>
      <c r="J442" s="82"/>
    </row>
    <row r="443">
      <c r="A443" s="82"/>
      <c r="B443" s="82"/>
      <c r="C443" s="82"/>
      <c r="E443" s="82"/>
      <c r="F443" s="83"/>
      <c r="G443" s="82"/>
      <c r="H443" s="83"/>
      <c r="I443" s="82"/>
      <c r="J443" s="82"/>
    </row>
    <row r="444">
      <c r="A444" s="82"/>
      <c r="B444" s="82"/>
      <c r="C444" s="82"/>
      <c r="E444" s="82"/>
      <c r="F444" s="83"/>
      <c r="G444" s="82"/>
      <c r="H444" s="83"/>
      <c r="I444" s="82"/>
      <c r="J444" s="82"/>
    </row>
    <row r="445">
      <c r="A445" s="82"/>
      <c r="B445" s="82"/>
      <c r="C445" s="82"/>
      <c r="E445" s="82"/>
      <c r="F445" s="83"/>
      <c r="G445" s="82"/>
      <c r="H445" s="83"/>
      <c r="I445" s="82"/>
      <c r="J445" s="82"/>
    </row>
    <row r="446">
      <c r="A446" s="82"/>
      <c r="B446" s="82"/>
      <c r="C446" s="82"/>
      <c r="E446" s="82"/>
      <c r="F446" s="83"/>
      <c r="G446" s="82"/>
      <c r="H446" s="83"/>
      <c r="I446" s="82"/>
      <c r="J446" s="82"/>
    </row>
    <row r="447">
      <c r="A447" s="82"/>
      <c r="B447" s="82"/>
      <c r="C447" s="82"/>
      <c r="E447" s="82"/>
      <c r="F447" s="83"/>
      <c r="G447" s="82"/>
      <c r="H447" s="83"/>
      <c r="I447" s="82"/>
      <c r="J447" s="82"/>
    </row>
    <row r="448">
      <c r="A448" s="82"/>
      <c r="B448" s="82"/>
      <c r="C448" s="82"/>
      <c r="E448" s="82"/>
      <c r="F448" s="83"/>
      <c r="G448" s="82"/>
      <c r="H448" s="83"/>
      <c r="I448" s="82"/>
      <c r="J448" s="82"/>
    </row>
    <row r="449">
      <c r="A449" s="82"/>
      <c r="B449" s="82"/>
      <c r="C449" s="82"/>
      <c r="E449" s="82"/>
      <c r="F449" s="83"/>
      <c r="G449" s="82"/>
      <c r="H449" s="83"/>
      <c r="I449" s="82"/>
      <c r="J449" s="82"/>
    </row>
    <row r="450">
      <c r="A450" s="82"/>
      <c r="B450" s="82"/>
      <c r="C450" s="82"/>
      <c r="E450" s="82"/>
      <c r="F450" s="83"/>
      <c r="G450" s="82"/>
      <c r="H450" s="83"/>
      <c r="I450" s="82"/>
      <c r="J450" s="82"/>
    </row>
    <row r="451">
      <c r="A451" s="82"/>
      <c r="B451" s="82"/>
      <c r="C451" s="82"/>
      <c r="E451" s="82"/>
      <c r="F451" s="83"/>
      <c r="G451" s="82"/>
      <c r="H451" s="83"/>
      <c r="I451" s="82"/>
      <c r="J451" s="82"/>
    </row>
    <row r="452">
      <c r="A452" s="82"/>
      <c r="B452" s="82"/>
      <c r="C452" s="82"/>
      <c r="E452" s="82"/>
      <c r="F452" s="83"/>
      <c r="G452" s="82"/>
      <c r="H452" s="83"/>
      <c r="I452" s="82"/>
      <c r="J452" s="82"/>
    </row>
    <row r="453">
      <c r="A453" s="82"/>
      <c r="B453" s="82"/>
      <c r="C453" s="82"/>
      <c r="E453" s="82"/>
      <c r="F453" s="83"/>
      <c r="G453" s="82"/>
      <c r="H453" s="83"/>
      <c r="I453" s="82"/>
      <c r="J453" s="82"/>
    </row>
    <row r="454">
      <c r="A454" s="82"/>
      <c r="B454" s="82"/>
      <c r="C454" s="82"/>
      <c r="E454" s="82"/>
      <c r="F454" s="83"/>
      <c r="G454" s="82"/>
      <c r="H454" s="83"/>
      <c r="I454" s="82"/>
      <c r="J454" s="82"/>
    </row>
    <row r="455">
      <c r="A455" s="82"/>
      <c r="B455" s="82"/>
      <c r="C455" s="82"/>
      <c r="E455" s="82"/>
      <c r="F455" s="83"/>
      <c r="G455" s="82"/>
      <c r="H455" s="83"/>
      <c r="I455" s="82"/>
      <c r="J455" s="82"/>
    </row>
    <row r="456">
      <c r="A456" s="82"/>
      <c r="B456" s="82"/>
      <c r="C456" s="82"/>
      <c r="E456" s="82"/>
      <c r="F456" s="83"/>
      <c r="G456" s="82"/>
      <c r="H456" s="83"/>
      <c r="I456" s="82"/>
      <c r="J456" s="82"/>
    </row>
    <row r="457">
      <c r="A457" s="82"/>
      <c r="B457" s="82"/>
      <c r="C457" s="82"/>
      <c r="E457" s="82"/>
      <c r="F457" s="83"/>
      <c r="G457" s="82"/>
      <c r="H457" s="83"/>
      <c r="I457" s="82"/>
      <c r="J457" s="82"/>
    </row>
    <row r="458">
      <c r="A458" s="82"/>
      <c r="B458" s="82"/>
      <c r="C458" s="82"/>
      <c r="E458" s="82"/>
      <c r="F458" s="83"/>
      <c r="G458" s="82"/>
      <c r="H458" s="83"/>
      <c r="I458" s="82"/>
      <c r="J458" s="82"/>
    </row>
    <row r="459">
      <c r="A459" s="82"/>
      <c r="B459" s="82"/>
      <c r="C459" s="82"/>
      <c r="E459" s="82"/>
      <c r="F459" s="83"/>
      <c r="G459" s="82"/>
      <c r="H459" s="83"/>
      <c r="I459" s="82"/>
      <c r="J459" s="82"/>
    </row>
    <row r="460">
      <c r="A460" s="82"/>
      <c r="B460" s="82"/>
      <c r="C460" s="82"/>
      <c r="E460" s="82"/>
      <c r="F460" s="83"/>
      <c r="G460" s="82"/>
      <c r="H460" s="83"/>
      <c r="I460" s="82"/>
      <c r="J460" s="82"/>
    </row>
    <row r="461">
      <c r="A461" s="82"/>
      <c r="B461" s="82"/>
      <c r="C461" s="82"/>
      <c r="E461" s="82"/>
      <c r="F461" s="83"/>
      <c r="G461" s="82"/>
      <c r="H461" s="83"/>
      <c r="I461" s="82"/>
      <c r="J461" s="82"/>
    </row>
    <row r="462">
      <c r="A462" s="82"/>
      <c r="B462" s="82"/>
      <c r="C462" s="82"/>
      <c r="E462" s="82"/>
      <c r="F462" s="83"/>
      <c r="G462" s="82"/>
      <c r="H462" s="83"/>
      <c r="I462" s="82"/>
      <c r="J462" s="82"/>
    </row>
    <row r="463">
      <c r="A463" s="82"/>
      <c r="B463" s="82"/>
      <c r="C463" s="82"/>
      <c r="E463" s="82"/>
      <c r="F463" s="83"/>
      <c r="G463" s="82"/>
      <c r="H463" s="83"/>
      <c r="I463" s="82"/>
      <c r="J463" s="82"/>
    </row>
    <row r="464">
      <c r="A464" s="82"/>
      <c r="B464" s="82"/>
      <c r="C464" s="82"/>
      <c r="E464" s="82"/>
      <c r="F464" s="83"/>
      <c r="G464" s="82"/>
      <c r="H464" s="83"/>
      <c r="I464" s="82"/>
      <c r="J464" s="82"/>
    </row>
    <row r="465">
      <c r="A465" s="82"/>
      <c r="B465" s="82"/>
      <c r="C465" s="82"/>
      <c r="E465" s="82"/>
      <c r="F465" s="83"/>
      <c r="G465" s="82"/>
      <c r="H465" s="83"/>
      <c r="I465" s="82"/>
      <c r="J465" s="82"/>
    </row>
    <row r="466">
      <c r="A466" s="82"/>
      <c r="B466" s="82"/>
      <c r="C466" s="82"/>
      <c r="E466" s="82"/>
      <c r="F466" s="83"/>
      <c r="G466" s="82"/>
      <c r="H466" s="83"/>
      <c r="I466" s="82"/>
      <c r="J466" s="82"/>
    </row>
    <row r="467">
      <c r="A467" s="82"/>
      <c r="B467" s="82"/>
      <c r="C467" s="82"/>
      <c r="E467" s="82"/>
      <c r="F467" s="83"/>
      <c r="G467" s="82"/>
      <c r="H467" s="83"/>
      <c r="I467" s="82"/>
      <c r="J467" s="82"/>
    </row>
    <row r="468">
      <c r="A468" s="82"/>
      <c r="B468" s="82"/>
      <c r="C468" s="82"/>
      <c r="E468" s="82"/>
      <c r="F468" s="83"/>
      <c r="G468" s="82"/>
      <c r="H468" s="83"/>
      <c r="I468" s="82"/>
      <c r="J468" s="82"/>
    </row>
    <row r="469">
      <c r="A469" s="82"/>
      <c r="B469" s="82"/>
      <c r="C469" s="82"/>
      <c r="E469" s="82"/>
      <c r="F469" s="83"/>
      <c r="G469" s="82"/>
      <c r="H469" s="83"/>
      <c r="I469" s="82"/>
      <c r="J469" s="82"/>
    </row>
    <row r="470">
      <c r="A470" s="82"/>
      <c r="B470" s="82"/>
      <c r="C470" s="82"/>
      <c r="E470" s="82"/>
      <c r="F470" s="83"/>
      <c r="G470" s="82"/>
      <c r="H470" s="83"/>
      <c r="I470" s="82"/>
      <c r="J470" s="82"/>
    </row>
    <row r="471">
      <c r="A471" s="82"/>
      <c r="B471" s="82"/>
      <c r="C471" s="82"/>
      <c r="E471" s="82"/>
      <c r="F471" s="83"/>
      <c r="G471" s="82"/>
      <c r="H471" s="83"/>
      <c r="I471" s="82"/>
      <c r="J471" s="82"/>
    </row>
    <row r="472">
      <c r="A472" s="82"/>
      <c r="B472" s="82"/>
      <c r="C472" s="82"/>
      <c r="E472" s="82"/>
      <c r="F472" s="83"/>
      <c r="G472" s="82"/>
      <c r="H472" s="83"/>
      <c r="I472" s="82"/>
      <c r="J472" s="82"/>
    </row>
    <row r="473">
      <c r="A473" s="82"/>
      <c r="B473" s="82"/>
      <c r="C473" s="82"/>
      <c r="E473" s="82"/>
      <c r="F473" s="83"/>
      <c r="G473" s="82"/>
      <c r="H473" s="83"/>
      <c r="I473" s="82"/>
      <c r="J473" s="82"/>
    </row>
    <row r="474">
      <c r="A474" s="82"/>
      <c r="B474" s="82"/>
      <c r="C474" s="82"/>
      <c r="E474" s="82"/>
      <c r="F474" s="83"/>
      <c r="G474" s="82"/>
      <c r="H474" s="83"/>
      <c r="I474" s="82"/>
      <c r="J474" s="82"/>
    </row>
    <row r="475">
      <c r="A475" s="82"/>
      <c r="B475" s="82"/>
      <c r="C475" s="82"/>
      <c r="E475" s="82"/>
      <c r="F475" s="83"/>
      <c r="G475" s="82"/>
      <c r="H475" s="83"/>
      <c r="I475" s="82"/>
      <c r="J475" s="82"/>
    </row>
    <row r="476">
      <c r="A476" s="82"/>
      <c r="B476" s="82"/>
      <c r="C476" s="82"/>
      <c r="E476" s="82"/>
      <c r="F476" s="83"/>
      <c r="G476" s="82"/>
      <c r="H476" s="83"/>
      <c r="I476" s="82"/>
      <c r="J476" s="82"/>
    </row>
    <row r="477">
      <c r="A477" s="82"/>
      <c r="B477" s="82"/>
      <c r="C477" s="82"/>
      <c r="E477" s="82"/>
      <c r="F477" s="83"/>
      <c r="G477" s="82"/>
      <c r="H477" s="83"/>
      <c r="I477" s="82"/>
      <c r="J477" s="82"/>
    </row>
    <row r="478">
      <c r="A478" s="82"/>
      <c r="B478" s="82"/>
      <c r="C478" s="82"/>
      <c r="E478" s="82"/>
      <c r="F478" s="83"/>
      <c r="G478" s="82"/>
      <c r="H478" s="83"/>
      <c r="I478" s="82"/>
      <c r="J478" s="82"/>
    </row>
    <row r="479">
      <c r="A479" s="82"/>
      <c r="B479" s="82"/>
      <c r="C479" s="82"/>
      <c r="E479" s="82"/>
      <c r="F479" s="83"/>
      <c r="G479" s="82"/>
      <c r="H479" s="83"/>
      <c r="I479" s="82"/>
      <c r="J479" s="82"/>
    </row>
    <row r="480">
      <c r="A480" s="82"/>
      <c r="B480" s="82"/>
      <c r="C480" s="82"/>
      <c r="E480" s="82"/>
      <c r="F480" s="83"/>
      <c r="G480" s="82"/>
      <c r="H480" s="83"/>
      <c r="I480" s="82"/>
      <c r="J480" s="82"/>
    </row>
    <row r="481">
      <c r="A481" s="82"/>
      <c r="B481" s="82"/>
      <c r="C481" s="82"/>
      <c r="E481" s="82"/>
      <c r="F481" s="83"/>
      <c r="G481" s="82"/>
      <c r="H481" s="83"/>
      <c r="I481" s="82"/>
      <c r="J481" s="82"/>
    </row>
    <row r="482">
      <c r="A482" s="82"/>
      <c r="B482" s="82"/>
      <c r="C482" s="82"/>
      <c r="E482" s="82"/>
      <c r="F482" s="83"/>
      <c r="G482" s="82"/>
      <c r="H482" s="83"/>
      <c r="I482" s="82"/>
      <c r="J482" s="82"/>
    </row>
    <row r="483">
      <c r="A483" s="82"/>
      <c r="B483" s="82"/>
      <c r="C483" s="82"/>
      <c r="E483" s="82"/>
      <c r="F483" s="83"/>
      <c r="G483" s="82"/>
      <c r="H483" s="83"/>
      <c r="I483" s="82"/>
      <c r="J483" s="82"/>
    </row>
    <row r="484">
      <c r="A484" s="82"/>
      <c r="B484" s="82"/>
      <c r="C484" s="82"/>
      <c r="E484" s="82"/>
      <c r="F484" s="83"/>
      <c r="G484" s="82"/>
      <c r="H484" s="83"/>
      <c r="I484" s="82"/>
      <c r="J484" s="82"/>
    </row>
    <row r="485">
      <c r="A485" s="82"/>
      <c r="B485" s="82"/>
      <c r="C485" s="82"/>
      <c r="E485" s="82"/>
      <c r="F485" s="83"/>
      <c r="G485" s="82"/>
      <c r="H485" s="83"/>
      <c r="I485" s="82"/>
      <c r="J485" s="82"/>
    </row>
    <row r="486">
      <c r="A486" s="82"/>
      <c r="B486" s="82"/>
      <c r="C486" s="82"/>
      <c r="E486" s="82"/>
      <c r="F486" s="83"/>
      <c r="G486" s="82"/>
      <c r="H486" s="83"/>
      <c r="I486" s="82"/>
      <c r="J486" s="82"/>
    </row>
    <row r="487">
      <c r="A487" s="82"/>
      <c r="B487" s="82"/>
      <c r="C487" s="82"/>
      <c r="E487" s="82"/>
      <c r="F487" s="83"/>
      <c r="G487" s="82"/>
      <c r="H487" s="83"/>
      <c r="I487" s="82"/>
      <c r="J487" s="82"/>
    </row>
    <row r="488">
      <c r="A488" s="82"/>
      <c r="B488" s="82"/>
      <c r="C488" s="82"/>
      <c r="E488" s="82"/>
      <c r="F488" s="83"/>
      <c r="G488" s="82"/>
      <c r="H488" s="83"/>
      <c r="I488" s="82"/>
      <c r="J488" s="82"/>
    </row>
    <row r="489">
      <c r="A489" s="82"/>
      <c r="B489" s="82"/>
      <c r="C489" s="82"/>
      <c r="E489" s="82"/>
      <c r="F489" s="83"/>
      <c r="G489" s="82"/>
      <c r="H489" s="83"/>
      <c r="I489" s="82"/>
      <c r="J489" s="82"/>
    </row>
    <row r="490">
      <c r="A490" s="82"/>
      <c r="B490" s="82"/>
      <c r="C490" s="82"/>
      <c r="E490" s="82"/>
      <c r="F490" s="83"/>
      <c r="G490" s="82"/>
      <c r="H490" s="83"/>
      <c r="I490" s="82"/>
      <c r="J490" s="82"/>
    </row>
    <row r="491">
      <c r="A491" s="82"/>
      <c r="B491" s="82"/>
      <c r="C491" s="82"/>
      <c r="E491" s="82"/>
      <c r="F491" s="83"/>
      <c r="G491" s="82"/>
      <c r="H491" s="83"/>
      <c r="I491" s="82"/>
      <c r="J491" s="82"/>
    </row>
    <row r="492">
      <c r="A492" s="82"/>
      <c r="B492" s="82"/>
      <c r="C492" s="82"/>
      <c r="E492" s="82"/>
      <c r="F492" s="83"/>
      <c r="G492" s="82"/>
      <c r="H492" s="83"/>
      <c r="I492" s="82"/>
      <c r="J492" s="82"/>
    </row>
    <row r="493">
      <c r="A493" s="82"/>
      <c r="B493" s="82"/>
      <c r="C493" s="82"/>
      <c r="E493" s="82"/>
      <c r="F493" s="83"/>
      <c r="G493" s="82"/>
      <c r="H493" s="83"/>
      <c r="I493" s="82"/>
      <c r="J493" s="82"/>
    </row>
    <row r="494">
      <c r="A494" s="82"/>
      <c r="B494" s="82"/>
      <c r="C494" s="82"/>
      <c r="E494" s="82"/>
      <c r="F494" s="83"/>
      <c r="G494" s="82"/>
      <c r="H494" s="83"/>
      <c r="I494" s="82"/>
      <c r="J494" s="82"/>
    </row>
    <row r="495">
      <c r="A495" s="82"/>
      <c r="B495" s="82"/>
      <c r="C495" s="82"/>
      <c r="E495" s="82"/>
      <c r="F495" s="83"/>
      <c r="G495" s="82"/>
      <c r="H495" s="83"/>
      <c r="I495" s="82"/>
      <c r="J495" s="82"/>
    </row>
    <row r="496">
      <c r="A496" s="82"/>
      <c r="B496" s="82"/>
      <c r="C496" s="82"/>
      <c r="E496" s="82"/>
      <c r="F496" s="83"/>
      <c r="G496" s="82"/>
      <c r="H496" s="83"/>
      <c r="I496" s="82"/>
      <c r="J496" s="82"/>
    </row>
    <row r="497">
      <c r="A497" s="82"/>
      <c r="B497" s="82"/>
      <c r="C497" s="82"/>
      <c r="E497" s="82"/>
      <c r="F497" s="83"/>
      <c r="G497" s="82"/>
      <c r="H497" s="83"/>
      <c r="I497" s="82"/>
      <c r="J497" s="82"/>
    </row>
    <row r="498">
      <c r="A498" s="82"/>
      <c r="B498" s="82"/>
      <c r="C498" s="82"/>
      <c r="E498" s="82"/>
      <c r="F498" s="83"/>
      <c r="G498" s="82"/>
      <c r="H498" s="83"/>
      <c r="I498" s="82"/>
      <c r="J498" s="82"/>
    </row>
    <row r="499">
      <c r="A499" s="82"/>
      <c r="B499" s="82"/>
      <c r="C499" s="82"/>
      <c r="E499" s="82"/>
      <c r="F499" s="83"/>
      <c r="G499" s="82"/>
      <c r="H499" s="83"/>
      <c r="I499" s="82"/>
      <c r="J499" s="82"/>
    </row>
    <row r="500">
      <c r="A500" s="82"/>
      <c r="B500" s="82"/>
      <c r="C500" s="82"/>
      <c r="E500" s="82"/>
      <c r="F500" s="83"/>
      <c r="G500" s="82"/>
      <c r="H500" s="83"/>
      <c r="I500" s="82"/>
      <c r="J500" s="82"/>
    </row>
    <row r="501">
      <c r="A501" s="82"/>
      <c r="B501" s="82"/>
      <c r="C501" s="82"/>
      <c r="E501" s="82"/>
      <c r="F501" s="83"/>
      <c r="G501" s="82"/>
      <c r="H501" s="83"/>
      <c r="I501" s="82"/>
      <c r="J501" s="82"/>
    </row>
    <row r="502">
      <c r="A502" s="82"/>
      <c r="B502" s="82"/>
      <c r="C502" s="82"/>
      <c r="E502" s="82"/>
      <c r="F502" s="83"/>
      <c r="G502" s="82"/>
      <c r="H502" s="83"/>
      <c r="I502" s="82"/>
      <c r="J502" s="82"/>
    </row>
    <row r="503">
      <c r="A503" s="82"/>
      <c r="B503" s="82"/>
      <c r="C503" s="82"/>
      <c r="E503" s="82"/>
      <c r="F503" s="83"/>
      <c r="G503" s="82"/>
      <c r="H503" s="83"/>
      <c r="I503" s="82"/>
      <c r="J503" s="82"/>
    </row>
    <row r="504">
      <c r="A504" s="82"/>
      <c r="B504" s="82"/>
      <c r="C504" s="82"/>
      <c r="E504" s="82"/>
      <c r="F504" s="83"/>
      <c r="G504" s="82"/>
      <c r="H504" s="83"/>
      <c r="I504" s="82"/>
      <c r="J504" s="82"/>
    </row>
    <row r="505">
      <c r="A505" s="82"/>
      <c r="B505" s="82"/>
      <c r="C505" s="82"/>
      <c r="E505" s="82"/>
      <c r="F505" s="83"/>
      <c r="G505" s="82"/>
      <c r="H505" s="83"/>
      <c r="I505" s="82"/>
      <c r="J505" s="82"/>
    </row>
    <row r="506">
      <c r="A506" s="82"/>
      <c r="B506" s="82"/>
      <c r="C506" s="82"/>
      <c r="E506" s="82"/>
      <c r="F506" s="83"/>
      <c r="G506" s="82"/>
      <c r="H506" s="83"/>
      <c r="I506" s="82"/>
      <c r="J506" s="82"/>
    </row>
    <row r="507">
      <c r="A507" s="82"/>
      <c r="B507" s="82"/>
      <c r="C507" s="82"/>
      <c r="E507" s="82"/>
      <c r="F507" s="83"/>
      <c r="G507" s="82"/>
      <c r="H507" s="83"/>
      <c r="I507" s="82"/>
      <c r="J507" s="82"/>
    </row>
    <row r="508">
      <c r="A508" s="82"/>
      <c r="B508" s="82"/>
      <c r="C508" s="82"/>
      <c r="E508" s="82"/>
      <c r="F508" s="83"/>
      <c r="G508" s="82"/>
      <c r="H508" s="83"/>
      <c r="I508" s="82"/>
      <c r="J508" s="82"/>
    </row>
    <row r="509">
      <c r="A509" s="82"/>
      <c r="B509" s="82"/>
      <c r="C509" s="82"/>
      <c r="E509" s="82"/>
      <c r="F509" s="83"/>
      <c r="G509" s="82"/>
      <c r="H509" s="83"/>
      <c r="I509" s="82"/>
      <c r="J509" s="82"/>
    </row>
    <row r="510">
      <c r="A510" s="82"/>
      <c r="B510" s="82"/>
      <c r="C510" s="82"/>
      <c r="E510" s="82"/>
      <c r="F510" s="83"/>
      <c r="G510" s="82"/>
      <c r="H510" s="83"/>
      <c r="I510" s="82"/>
      <c r="J510" s="82"/>
    </row>
    <row r="511">
      <c r="A511" s="82"/>
      <c r="B511" s="82"/>
      <c r="C511" s="82"/>
      <c r="E511" s="82"/>
      <c r="F511" s="83"/>
      <c r="G511" s="82"/>
      <c r="H511" s="83"/>
      <c r="I511" s="82"/>
      <c r="J511" s="82"/>
    </row>
    <row r="512">
      <c r="A512" s="82"/>
      <c r="B512" s="82"/>
      <c r="C512" s="82"/>
      <c r="E512" s="82"/>
      <c r="F512" s="83"/>
      <c r="G512" s="82"/>
      <c r="H512" s="83"/>
      <c r="I512" s="82"/>
      <c r="J512" s="82"/>
    </row>
    <row r="513">
      <c r="A513" s="82"/>
      <c r="B513" s="82"/>
      <c r="C513" s="82"/>
      <c r="E513" s="82"/>
      <c r="F513" s="83"/>
      <c r="G513" s="82"/>
      <c r="H513" s="83"/>
      <c r="I513" s="82"/>
      <c r="J513" s="82"/>
    </row>
    <row r="514">
      <c r="A514" s="82"/>
      <c r="B514" s="82"/>
      <c r="C514" s="82"/>
      <c r="E514" s="82"/>
      <c r="F514" s="83"/>
      <c r="G514" s="82"/>
      <c r="H514" s="83"/>
      <c r="I514" s="82"/>
      <c r="J514" s="82"/>
    </row>
    <row r="515">
      <c r="A515" s="82"/>
      <c r="B515" s="82"/>
      <c r="C515" s="82"/>
      <c r="E515" s="82"/>
      <c r="F515" s="83"/>
      <c r="G515" s="82"/>
      <c r="H515" s="83"/>
      <c r="I515" s="82"/>
      <c r="J515" s="82"/>
    </row>
    <row r="516">
      <c r="A516" s="82"/>
      <c r="B516" s="82"/>
      <c r="C516" s="82"/>
      <c r="E516" s="82"/>
      <c r="F516" s="83"/>
      <c r="G516" s="82"/>
      <c r="H516" s="83"/>
      <c r="I516" s="82"/>
      <c r="J516" s="82"/>
    </row>
    <row r="517">
      <c r="A517" s="82"/>
      <c r="B517" s="82"/>
      <c r="C517" s="82"/>
      <c r="E517" s="82"/>
      <c r="F517" s="83"/>
      <c r="G517" s="82"/>
      <c r="H517" s="83"/>
      <c r="I517" s="82"/>
      <c r="J517" s="82"/>
    </row>
    <row r="518">
      <c r="A518" s="82"/>
      <c r="B518" s="82"/>
      <c r="C518" s="82"/>
      <c r="E518" s="82"/>
      <c r="F518" s="83"/>
      <c r="G518" s="82"/>
      <c r="H518" s="83"/>
      <c r="I518" s="82"/>
      <c r="J518" s="82"/>
    </row>
    <row r="519">
      <c r="A519" s="82"/>
      <c r="B519" s="82"/>
      <c r="C519" s="82"/>
      <c r="E519" s="82"/>
      <c r="F519" s="83"/>
      <c r="G519" s="82"/>
      <c r="H519" s="83"/>
      <c r="I519" s="82"/>
      <c r="J519" s="82"/>
    </row>
    <row r="520">
      <c r="A520" s="82"/>
      <c r="B520" s="82"/>
      <c r="C520" s="82"/>
      <c r="E520" s="82"/>
      <c r="F520" s="83"/>
      <c r="G520" s="82"/>
      <c r="H520" s="83"/>
      <c r="I520" s="82"/>
      <c r="J520" s="82"/>
    </row>
    <row r="521">
      <c r="A521" s="82"/>
      <c r="B521" s="82"/>
      <c r="C521" s="82"/>
      <c r="E521" s="82"/>
      <c r="F521" s="83"/>
      <c r="G521" s="82"/>
      <c r="H521" s="83"/>
      <c r="I521" s="82"/>
      <c r="J521" s="82"/>
    </row>
    <row r="522">
      <c r="A522" s="82"/>
      <c r="B522" s="82"/>
      <c r="C522" s="82"/>
      <c r="E522" s="82"/>
      <c r="F522" s="83"/>
      <c r="G522" s="82"/>
      <c r="H522" s="83"/>
      <c r="I522" s="82"/>
      <c r="J522" s="82"/>
    </row>
    <row r="523">
      <c r="A523" s="82"/>
      <c r="B523" s="82"/>
      <c r="C523" s="82"/>
      <c r="E523" s="82"/>
      <c r="F523" s="83"/>
      <c r="G523" s="82"/>
      <c r="H523" s="83"/>
      <c r="I523" s="82"/>
      <c r="J523" s="82"/>
    </row>
    <row r="524">
      <c r="A524" s="82"/>
      <c r="B524" s="82"/>
      <c r="C524" s="82"/>
      <c r="E524" s="82"/>
      <c r="F524" s="83"/>
      <c r="G524" s="82"/>
      <c r="H524" s="83"/>
      <c r="I524" s="82"/>
      <c r="J524" s="82"/>
    </row>
    <row r="525">
      <c r="A525" s="82"/>
      <c r="B525" s="82"/>
      <c r="C525" s="82"/>
      <c r="E525" s="82"/>
      <c r="F525" s="83"/>
      <c r="G525" s="82"/>
      <c r="H525" s="83"/>
      <c r="I525" s="82"/>
      <c r="J525" s="82"/>
    </row>
    <row r="526">
      <c r="A526" s="82"/>
      <c r="B526" s="82"/>
      <c r="C526" s="82"/>
      <c r="E526" s="82"/>
      <c r="F526" s="83"/>
      <c r="G526" s="82"/>
      <c r="H526" s="83"/>
      <c r="I526" s="82"/>
      <c r="J526" s="82"/>
    </row>
    <row r="527">
      <c r="A527" s="82"/>
      <c r="B527" s="82"/>
      <c r="C527" s="82"/>
      <c r="E527" s="82"/>
      <c r="F527" s="83"/>
      <c r="G527" s="82"/>
      <c r="H527" s="83"/>
      <c r="I527" s="82"/>
      <c r="J527" s="82"/>
    </row>
    <row r="528">
      <c r="A528" s="82"/>
      <c r="B528" s="82"/>
      <c r="C528" s="82"/>
      <c r="E528" s="82"/>
      <c r="F528" s="83"/>
      <c r="G528" s="82"/>
      <c r="H528" s="83"/>
      <c r="I528" s="82"/>
      <c r="J528" s="82"/>
    </row>
    <row r="529">
      <c r="A529" s="82"/>
      <c r="B529" s="82"/>
      <c r="C529" s="82"/>
      <c r="E529" s="82"/>
      <c r="F529" s="83"/>
      <c r="G529" s="82"/>
      <c r="H529" s="83"/>
      <c r="I529" s="82"/>
      <c r="J529" s="82"/>
    </row>
    <row r="530">
      <c r="A530" s="82"/>
      <c r="B530" s="82"/>
      <c r="C530" s="82"/>
      <c r="E530" s="82"/>
      <c r="F530" s="83"/>
      <c r="G530" s="82"/>
      <c r="H530" s="83"/>
      <c r="I530" s="82"/>
      <c r="J530" s="82"/>
    </row>
    <row r="531">
      <c r="A531" s="82"/>
      <c r="B531" s="82"/>
      <c r="C531" s="82"/>
      <c r="E531" s="82"/>
      <c r="F531" s="83"/>
      <c r="G531" s="82"/>
      <c r="H531" s="83"/>
      <c r="I531" s="82"/>
      <c r="J531" s="82"/>
    </row>
    <row r="532">
      <c r="A532" s="82"/>
      <c r="B532" s="82"/>
      <c r="C532" s="82"/>
      <c r="E532" s="82"/>
      <c r="F532" s="83"/>
      <c r="G532" s="82"/>
      <c r="H532" s="83"/>
      <c r="I532" s="82"/>
      <c r="J532" s="82"/>
    </row>
    <row r="533">
      <c r="A533" s="82"/>
      <c r="B533" s="82"/>
      <c r="C533" s="82"/>
      <c r="E533" s="82"/>
      <c r="F533" s="83"/>
      <c r="G533" s="82"/>
      <c r="H533" s="83"/>
      <c r="I533" s="82"/>
      <c r="J533" s="82"/>
    </row>
    <row r="534">
      <c r="A534" s="82"/>
      <c r="B534" s="82"/>
      <c r="C534" s="82"/>
      <c r="E534" s="82"/>
      <c r="F534" s="83"/>
      <c r="G534" s="82"/>
      <c r="H534" s="83"/>
      <c r="I534" s="82"/>
      <c r="J534" s="82"/>
    </row>
    <row r="535">
      <c r="A535" s="82"/>
      <c r="B535" s="82"/>
      <c r="C535" s="82"/>
      <c r="E535" s="82"/>
      <c r="F535" s="83"/>
      <c r="G535" s="82"/>
      <c r="H535" s="83"/>
      <c r="I535" s="82"/>
      <c r="J535" s="82"/>
    </row>
    <row r="536">
      <c r="A536" s="82"/>
      <c r="B536" s="82"/>
      <c r="C536" s="82"/>
      <c r="E536" s="82"/>
      <c r="F536" s="83"/>
      <c r="G536" s="82"/>
      <c r="H536" s="83"/>
      <c r="I536" s="82"/>
      <c r="J536" s="82"/>
    </row>
    <row r="537">
      <c r="A537" s="82"/>
      <c r="B537" s="82"/>
      <c r="C537" s="82"/>
      <c r="E537" s="82"/>
      <c r="F537" s="83"/>
      <c r="G537" s="82"/>
      <c r="H537" s="83"/>
      <c r="I537" s="82"/>
      <c r="J537" s="82"/>
    </row>
    <row r="538">
      <c r="A538" s="82"/>
      <c r="B538" s="82"/>
      <c r="C538" s="82"/>
      <c r="E538" s="82"/>
      <c r="F538" s="83"/>
      <c r="G538" s="82"/>
      <c r="H538" s="83"/>
      <c r="I538" s="82"/>
      <c r="J538" s="82"/>
    </row>
    <row r="539">
      <c r="A539" s="82"/>
      <c r="B539" s="82"/>
      <c r="C539" s="82"/>
      <c r="E539" s="82"/>
      <c r="F539" s="83"/>
      <c r="G539" s="82"/>
      <c r="H539" s="83"/>
      <c r="I539" s="82"/>
      <c r="J539" s="82"/>
    </row>
    <row r="540">
      <c r="A540" s="82"/>
      <c r="B540" s="82"/>
      <c r="C540" s="82"/>
      <c r="E540" s="82"/>
      <c r="F540" s="83"/>
      <c r="G540" s="82"/>
      <c r="H540" s="83"/>
      <c r="I540" s="82"/>
      <c r="J540" s="82"/>
    </row>
    <row r="541">
      <c r="A541" s="82"/>
      <c r="B541" s="82"/>
      <c r="C541" s="82"/>
      <c r="E541" s="82"/>
      <c r="F541" s="83"/>
      <c r="G541" s="82"/>
      <c r="H541" s="83"/>
      <c r="I541" s="82"/>
      <c r="J541" s="82"/>
    </row>
    <row r="542">
      <c r="A542" s="82"/>
      <c r="B542" s="82"/>
      <c r="C542" s="82"/>
      <c r="E542" s="82"/>
      <c r="F542" s="83"/>
      <c r="G542" s="82"/>
      <c r="H542" s="83"/>
      <c r="I542" s="82"/>
      <c r="J542" s="82"/>
    </row>
    <row r="543">
      <c r="A543" s="82"/>
      <c r="B543" s="82"/>
      <c r="C543" s="82"/>
      <c r="E543" s="82"/>
      <c r="F543" s="83"/>
      <c r="G543" s="82"/>
      <c r="H543" s="83"/>
      <c r="I543" s="82"/>
      <c r="J543" s="82"/>
    </row>
    <row r="544">
      <c r="A544" s="82"/>
      <c r="B544" s="82"/>
      <c r="C544" s="82"/>
      <c r="E544" s="82"/>
      <c r="F544" s="83"/>
      <c r="G544" s="82"/>
      <c r="H544" s="83"/>
      <c r="I544" s="82"/>
      <c r="J544" s="82"/>
    </row>
    <row r="545">
      <c r="A545" s="82"/>
      <c r="B545" s="82"/>
      <c r="C545" s="82"/>
      <c r="E545" s="82"/>
      <c r="F545" s="83"/>
      <c r="G545" s="82"/>
      <c r="H545" s="83"/>
      <c r="I545" s="82"/>
      <c r="J545" s="82"/>
    </row>
    <row r="546">
      <c r="A546" s="82"/>
      <c r="B546" s="82"/>
      <c r="C546" s="82"/>
      <c r="E546" s="82"/>
      <c r="F546" s="83"/>
      <c r="G546" s="82"/>
      <c r="H546" s="83"/>
      <c r="I546" s="82"/>
      <c r="J546" s="82"/>
    </row>
    <row r="547">
      <c r="A547" s="82"/>
      <c r="B547" s="82"/>
      <c r="C547" s="82"/>
      <c r="E547" s="82"/>
      <c r="F547" s="83"/>
      <c r="G547" s="82"/>
      <c r="H547" s="83"/>
      <c r="I547" s="82"/>
      <c r="J547" s="82"/>
    </row>
    <row r="548">
      <c r="A548" s="82"/>
      <c r="B548" s="82"/>
      <c r="C548" s="82"/>
      <c r="E548" s="82"/>
      <c r="F548" s="83"/>
      <c r="G548" s="82"/>
      <c r="H548" s="83"/>
      <c r="I548" s="82"/>
      <c r="J548" s="82"/>
    </row>
    <row r="549">
      <c r="A549" s="82"/>
      <c r="B549" s="82"/>
      <c r="C549" s="82"/>
      <c r="E549" s="82"/>
      <c r="F549" s="83"/>
      <c r="G549" s="82"/>
      <c r="H549" s="83"/>
      <c r="I549" s="82"/>
      <c r="J549" s="82"/>
    </row>
    <row r="550">
      <c r="A550" s="82"/>
      <c r="B550" s="82"/>
      <c r="C550" s="82"/>
      <c r="E550" s="82"/>
      <c r="F550" s="83"/>
      <c r="G550" s="82"/>
      <c r="H550" s="83"/>
      <c r="I550" s="82"/>
      <c r="J550" s="82"/>
    </row>
    <row r="551">
      <c r="A551" s="82"/>
      <c r="B551" s="82"/>
      <c r="C551" s="82"/>
      <c r="E551" s="82"/>
      <c r="F551" s="83"/>
      <c r="G551" s="82"/>
      <c r="H551" s="83"/>
      <c r="I551" s="82"/>
      <c r="J551" s="82"/>
    </row>
    <row r="552">
      <c r="A552" s="82"/>
      <c r="B552" s="82"/>
      <c r="C552" s="82"/>
      <c r="E552" s="82"/>
      <c r="F552" s="83"/>
      <c r="G552" s="82"/>
      <c r="H552" s="83"/>
      <c r="I552" s="82"/>
      <c r="J552" s="82"/>
    </row>
    <row r="553">
      <c r="A553" s="82"/>
      <c r="B553" s="82"/>
      <c r="C553" s="82"/>
      <c r="E553" s="82"/>
      <c r="F553" s="83"/>
      <c r="G553" s="82"/>
      <c r="H553" s="83"/>
      <c r="I553" s="82"/>
      <c r="J553" s="82"/>
    </row>
    <row r="554">
      <c r="A554" s="82"/>
      <c r="B554" s="82"/>
      <c r="C554" s="82"/>
      <c r="E554" s="82"/>
      <c r="F554" s="83"/>
      <c r="G554" s="82"/>
      <c r="H554" s="83"/>
      <c r="I554" s="82"/>
      <c r="J554" s="82"/>
    </row>
    <row r="555">
      <c r="A555" s="82"/>
      <c r="B555" s="82"/>
      <c r="C555" s="82"/>
      <c r="E555" s="82"/>
      <c r="F555" s="83"/>
      <c r="G555" s="82"/>
      <c r="H555" s="83"/>
      <c r="I555" s="82"/>
      <c r="J555" s="82"/>
    </row>
    <row r="556">
      <c r="A556" s="82"/>
      <c r="B556" s="82"/>
      <c r="C556" s="82"/>
      <c r="E556" s="82"/>
      <c r="F556" s="83"/>
      <c r="G556" s="82"/>
      <c r="H556" s="83"/>
      <c r="I556" s="82"/>
      <c r="J556" s="82"/>
    </row>
    <row r="557">
      <c r="A557" s="82"/>
      <c r="B557" s="82"/>
      <c r="C557" s="82"/>
      <c r="E557" s="82"/>
      <c r="F557" s="83"/>
      <c r="G557" s="82"/>
      <c r="H557" s="83"/>
      <c r="I557" s="82"/>
      <c r="J557" s="82"/>
    </row>
    <row r="558">
      <c r="A558" s="82"/>
      <c r="B558" s="82"/>
      <c r="C558" s="82"/>
      <c r="E558" s="82"/>
      <c r="F558" s="83"/>
      <c r="G558" s="82"/>
      <c r="H558" s="83"/>
      <c r="I558" s="82"/>
      <c r="J558" s="82"/>
    </row>
    <row r="559">
      <c r="A559" s="82"/>
      <c r="B559" s="82"/>
      <c r="C559" s="82"/>
      <c r="E559" s="82"/>
      <c r="F559" s="83"/>
      <c r="G559" s="82"/>
      <c r="H559" s="83"/>
      <c r="I559" s="82"/>
      <c r="J559" s="82"/>
    </row>
    <row r="560">
      <c r="A560" s="82"/>
      <c r="B560" s="82"/>
      <c r="C560" s="82"/>
      <c r="E560" s="82"/>
      <c r="F560" s="83"/>
      <c r="G560" s="82"/>
      <c r="H560" s="83"/>
      <c r="I560" s="82"/>
      <c r="J560" s="82"/>
    </row>
    <row r="561">
      <c r="A561" s="82"/>
      <c r="B561" s="82"/>
      <c r="C561" s="82"/>
      <c r="E561" s="82"/>
      <c r="F561" s="83"/>
      <c r="G561" s="82"/>
      <c r="H561" s="83"/>
      <c r="I561" s="82"/>
      <c r="J561" s="82"/>
    </row>
    <row r="562">
      <c r="A562" s="82"/>
      <c r="B562" s="82"/>
      <c r="C562" s="82"/>
      <c r="E562" s="82"/>
      <c r="F562" s="83"/>
      <c r="G562" s="82"/>
      <c r="H562" s="83"/>
      <c r="I562" s="82"/>
      <c r="J562" s="82"/>
    </row>
    <row r="563">
      <c r="A563" s="82"/>
      <c r="B563" s="82"/>
      <c r="C563" s="82"/>
      <c r="E563" s="82"/>
      <c r="F563" s="83"/>
      <c r="G563" s="82"/>
      <c r="H563" s="83"/>
      <c r="I563" s="82"/>
      <c r="J563" s="82"/>
    </row>
    <row r="564">
      <c r="A564" s="82"/>
      <c r="B564" s="82"/>
      <c r="C564" s="82"/>
      <c r="E564" s="82"/>
      <c r="F564" s="83"/>
      <c r="G564" s="82"/>
      <c r="H564" s="83"/>
      <c r="I564" s="82"/>
      <c r="J564" s="82"/>
    </row>
    <row r="565">
      <c r="A565" s="82"/>
      <c r="B565" s="82"/>
      <c r="C565" s="82"/>
      <c r="E565" s="82"/>
      <c r="F565" s="83"/>
      <c r="G565" s="82"/>
      <c r="H565" s="83"/>
      <c r="I565" s="82"/>
      <c r="J565" s="82"/>
    </row>
    <row r="566">
      <c r="A566" s="82"/>
      <c r="B566" s="82"/>
      <c r="C566" s="82"/>
      <c r="E566" s="82"/>
      <c r="F566" s="83"/>
      <c r="G566" s="82"/>
      <c r="H566" s="83"/>
      <c r="I566" s="82"/>
      <c r="J566" s="82"/>
    </row>
    <row r="567">
      <c r="A567" s="82"/>
      <c r="B567" s="82"/>
      <c r="C567" s="82"/>
      <c r="E567" s="82"/>
      <c r="F567" s="83"/>
      <c r="G567" s="82"/>
      <c r="H567" s="83"/>
      <c r="I567" s="82"/>
      <c r="J567" s="82"/>
    </row>
    <row r="568">
      <c r="A568" s="82"/>
      <c r="B568" s="82"/>
      <c r="C568" s="82"/>
      <c r="E568" s="82"/>
      <c r="F568" s="83"/>
      <c r="G568" s="82"/>
      <c r="H568" s="83"/>
      <c r="I568" s="82"/>
      <c r="J568" s="82"/>
    </row>
    <row r="569">
      <c r="A569" s="82"/>
      <c r="B569" s="82"/>
      <c r="C569" s="82"/>
      <c r="E569" s="82"/>
      <c r="F569" s="83"/>
      <c r="G569" s="82"/>
      <c r="H569" s="83"/>
      <c r="I569" s="82"/>
      <c r="J569" s="82"/>
    </row>
    <row r="570">
      <c r="A570" s="82"/>
      <c r="B570" s="82"/>
      <c r="C570" s="82"/>
      <c r="E570" s="82"/>
      <c r="F570" s="83"/>
      <c r="G570" s="82"/>
      <c r="H570" s="83"/>
      <c r="I570" s="82"/>
      <c r="J570" s="82"/>
    </row>
    <row r="571">
      <c r="A571" s="82"/>
      <c r="B571" s="82"/>
      <c r="C571" s="82"/>
      <c r="E571" s="82"/>
      <c r="F571" s="83"/>
      <c r="G571" s="82"/>
      <c r="H571" s="83"/>
      <c r="I571" s="82"/>
      <c r="J571" s="82"/>
    </row>
    <row r="572">
      <c r="A572" s="82"/>
      <c r="B572" s="82"/>
      <c r="C572" s="82"/>
      <c r="E572" s="82"/>
      <c r="F572" s="83"/>
      <c r="G572" s="82"/>
      <c r="H572" s="83"/>
      <c r="I572" s="82"/>
      <c r="J572" s="82"/>
    </row>
    <row r="573">
      <c r="A573" s="82"/>
      <c r="B573" s="82"/>
      <c r="C573" s="82"/>
      <c r="E573" s="82"/>
      <c r="F573" s="83"/>
      <c r="G573" s="82"/>
      <c r="H573" s="83"/>
      <c r="I573" s="82"/>
      <c r="J573" s="82"/>
    </row>
    <row r="574">
      <c r="A574" s="82"/>
      <c r="B574" s="82"/>
      <c r="C574" s="82"/>
      <c r="E574" s="82"/>
      <c r="F574" s="83"/>
      <c r="G574" s="82"/>
      <c r="H574" s="83"/>
      <c r="I574" s="82"/>
      <c r="J574" s="82"/>
    </row>
    <row r="575">
      <c r="A575" s="82"/>
      <c r="B575" s="82"/>
      <c r="C575" s="82"/>
      <c r="E575" s="82"/>
      <c r="F575" s="83"/>
      <c r="G575" s="82"/>
      <c r="H575" s="83"/>
      <c r="I575" s="82"/>
      <c r="J575" s="82"/>
    </row>
    <row r="576">
      <c r="A576" s="82"/>
      <c r="B576" s="82"/>
      <c r="C576" s="82"/>
      <c r="E576" s="82"/>
      <c r="F576" s="83"/>
      <c r="G576" s="82"/>
      <c r="H576" s="83"/>
      <c r="I576" s="82"/>
      <c r="J576" s="82"/>
    </row>
    <row r="577">
      <c r="A577" s="82"/>
      <c r="B577" s="82"/>
      <c r="C577" s="82"/>
      <c r="E577" s="82"/>
      <c r="F577" s="83"/>
      <c r="G577" s="82"/>
      <c r="H577" s="83"/>
      <c r="I577" s="82"/>
      <c r="J577" s="82"/>
    </row>
    <row r="578">
      <c r="A578" s="82"/>
      <c r="B578" s="82"/>
      <c r="C578" s="82"/>
      <c r="E578" s="82"/>
      <c r="F578" s="83"/>
      <c r="G578" s="82"/>
      <c r="H578" s="83"/>
      <c r="I578" s="82"/>
      <c r="J578" s="82"/>
    </row>
    <row r="579">
      <c r="A579" s="82"/>
      <c r="B579" s="82"/>
      <c r="C579" s="82"/>
      <c r="E579" s="82"/>
      <c r="F579" s="83"/>
      <c r="G579" s="82"/>
      <c r="H579" s="83"/>
      <c r="I579" s="82"/>
      <c r="J579" s="82"/>
    </row>
    <row r="580">
      <c r="A580" s="82"/>
      <c r="B580" s="82"/>
      <c r="C580" s="82"/>
      <c r="E580" s="82"/>
      <c r="F580" s="83"/>
      <c r="G580" s="82"/>
      <c r="H580" s="83"/>
      <c r="I580" s="82"/>
      <c r="J580" s="82"/>
    </row>
    <row r="581">
      <c r="A581" s="82"/>
      <c r="B581" s="82"/>
      <c r="C581" s="82"/>
      <c r="E581" s="82"/>
      <c r="F581" s="83"/>
      <c r="G581" s="82"/>
      <c r="H581" s="83"/>
      <c r="I581" s="82"/>
      <c r="J581" s="82"/>
    </row>
    <row r="582">
      <c r="A582" s="82"/>
      <c r="B582" s="82"/>
      <c r="C582" s="82"/>
      <c r="E582" s="82"/>
      <c r="F582" s="83"/>
      <c r="G582" s="82"/>
      <c r="H582" s="83"/>
      <c r="I582" s="82"/>
      <c r="J582" s="82"/>
    </row>
    <row r="583">
      <c r="A583" s="82"/>
      <c r="B583" s="82"/>
      <c r="C583" s="82"/>
      <c r="E583" s="82"/>
      <c r="F583" s="83"/>
      <c r="G583" s="82"/>
      <c r="H583" s="83"/>
      <c r="I583" s="82"/>
      <c r="J583" s="82"/>
    </row>
    <row r="584">
      <c r="A584" s="82"/>
      <c r="B584" s="82"/>
      <c r="C584" s="82"/>
      <c r="E584" s="82"/>
      <c r="F584" s="83"/>
      <c r="G584" s="82"/>
      <c r="H584" s="83"/>
      <c r="I584" s="82"/>
      <c r="J584" s="82"/>
    </row>
    <row r="585">
      <c r="A585" s="82"/>
      <c r="B585" s="82"/>
      <c r="C585" s="82"/>
      <c r="E585" s="82"/>
      <c r="F585" s="83"/>
      <c r="G585" s="82"/>
      <c r="H585" s="83"/>
      <c r="I585" s="82"/>
      <c r="J585" s="82"/>
    </row>
    <row r="586">
      <c r="A586" s="82"/>
      <c r="B586" s="82"/>
      <c r="C586" s="82"/>
      <c r="E586" s="82"/>
      <c r="F586" s="83"/>
      <c r="G586" s="82"/>
      <c r="H586" s="83"/>
      <c r="I586" s="82"/>
      <c r="J586" s="82"/>
    </row>
    <row r="587">
      <c r="A587" s="82"/>
      <c r="B587" s="82"/>
      <c r="C587" s="82"/>
      <c r="E587" s="82"/>
      <c r="F587" s="83"/>
      <c r="G587" s="82"/>
      <c r="H587" s="83"/>
      <c r="I587" s="82"/>
      <c r="J587" s="82"/>
    </row>
    <row r="588">
      <c r="A588" s="82"/>
      <c r="B588" s="82"/>
      <c r="C588" s="82"/>
      <c r="E588" s="82"/>
      <c r="F588" s="83"/>
      <c r="G588" s="82"/>
      <c r="H588" s="83"/>
      <c r="I588" s="82"/>
      <c r="J588" s="82"/>
    </row>
    <row r="589">
      <c r="A589" s="82"/>
      <c r="B589" s="82"/>
      <c r="C589" s="82"/>
      <c r="E589" s="82"/>
      <c r="F589" s="83"/>
      <c r="G589" s="82"/>
      <c r="H589" s="83"/>
      <c r="I589" s="82"/>
      <c r="J589" s="82"/>
    </row>
    <row r="590">
      <c r="A590" s="82"/>
      <c r="B590" s="82"/>
      <c r="C590" s="82"/>
      <c r="E590" s="82"/>
      <c r="F590" s="83"/>
      <c r="G590" s="82"/>
      <c r="H590" s="83"/>
      <c r="I590" s="82"/>
      <c r="J590" s="82"/>
    </row>
    <row r="591">
      <c r="A591" s="82"/>
      <c r="B591" s="82"/>
      <c r="C591" s="82"/>
      <c r="E591" s="82"/>
      <c r="F591" s="83"/>
      <c r="G591" s="82"/>
      <c r="H591" s="83"/>
      <c r="I591" s="82"/>
      <c r="J591" s="82"/>
    </row>
    <row r="592">
      <c r="A592" s="82"/>
      <c r="B592" s="82"/>
      <c r="C592" s="82"/>
      <c r="E592" s="82"/>
      <c r="F592" s="83"/>
      <c r="G592" s="82"/>
      <c r="H592" s="83"/>
      <c r="I592" s="82"/>
      <c r="J592" s="82"/>
    </row>
    <row r="593">
      <c r="A593" s="82"/>
      <c r="B593" s="82"/>
      <c r="C593" s="82"/>
      <c r="E593" s="82"/>
      <c r="F593" s="83"/>
      <c r="G593" s="82"/>
      <c r="H593" s="83"/>
      <c r="I593" s="82"/>
      <c r="J593" s="82"/>
    </row>
    <row r="594">
      <c r="A594" s="82"/>
      <c r="B594" s="82"/>
      <c r="C594" s="82"/>
      <c r="E594" s="82"/>
      <c r="F594" s="83"/>
      <c r="G594" s="82"/>
      <c r="H594" s="83"/>
      <c r="I594" s="82"/>
      <c r="J594" s="82"/>
    </row>
    <row r="595">
      <c r="A595" s="82"/>
      <c r="B595" s="82"/>
      <c r="C595" s="82"/>
      <c r="E595" s="82"/>
      <c r="F595" s="83"/>
      <c r="G595" s="82"/>
      <c r="H595" s="83"/>
      <c r="I595" s="82"/>
      <c r="J595" s="82"/>
    </row>
    <row r="596">
      <c r="A596" s="82"/>
      <c r="B596" s="82"/>
      <c r="C596" s="82"/>
      <c r="E596" s="82"/>
      <c r="F596" s="83"/>
      <c r="G596" s="82"/>
      <c r="H596" s="83"/>
      <c r="I596" s="82"/>
      <c r="J596" s="82"/>
    </row>
    <row r="597">
      <c r="A597" s="82"/>
      <c r="B597" s="82"/>
      <c r="C597" s="82"/>
      <c r="E597" s="82"/>
      <c r="F597" s="83"/>
      <c r="G597" s="82"/>
      <c r="H597" s="83"/>
      <c r="I597" s="82"/>
      <c r="J597" s="82"/>
    </row>
    <row r="598">
      <c r="A598" s="82"/>
      <c r="B598" s="82"/>
      <c r="C598" s="82"/>
      <c r="E598" s="82"/>
      <c r="F598" s="83"/>
      <c r="G598" s="82"/>
      <c r="H598" s="83"/>
      <c r="I598" s="82"/>
      <c r="J598" s="82"/>
    </row>
    <row r="599">
      <c r="A599" s="82"/>
      <c r="B599" s="82"/>
      <c r="C599" s="82"/>
      <c r="E599" s="82"/>
      <c r="F599" s="83"/>
      <c r="G599" s="82"/>
      <c r="H599" s="83"/>
      <c r="I599" s="82"/>
      <c r="J599" s="82"/>
    </row>
    <row r="600">
      <c r="A600" s="82"/>
      <c r="B600" s="82"/>
      <c r="C600" s="82"/>
      <c r="E600" s="82"/>
      <c r="F600" s="83"/>
      <c r="G600" s="82"/>
      <c r="H600" s="83"/>
      <c r="I600" s="82"/>
      <c r="J600" s="82"/>
    </row>
    <row r="601">
      <c r="A601" s="82"/>
      <c r="B601" s="82"/>
      <c r="C601" s="82"/>
      <c r="E601" s="82"/>
      <c r="F601" s="83"/>
      <c r="G601" s="82"/>
      <c r="H601" s="83"/>
      <c r="I601" s="82"/>
      <c r="J601" s="82"/>
    </row>
    <row r="602">
      <c r="A602" s="82"/>
      <c r="B602" s="82"/>
      <c r="C602" s="82"/>
      <c r="E602" s="82"/>
      <c r="F602" s="83"/>
      <c r="G602" s="82"/>
      <c r="H602" s="83"/>
      <c r="I602" s="82"/>
      <c r="J602" s="82"/>
    </row>
    <row r="603">
      <c r="A603" s="82"/>
      <c r="B603" s="82"/>
      <c r="C603" s="82"/>
      <c r="E603" s="82"/>
      <c r="F603" s="83"/>
      <c r="G603" s="82"/>
      <c r="H603" s="83"/>
      <c r="I603" s="82"/>
      <c r="J603" s="82"/>
    </row>
    <row r="604">
      <c r="A604" s="82"/>
      <c r="B604" s="82"/>
      <c r="C604" s="82"/>
      <c r="E604" s="82"/>
      <c r="F604" s="83"/>
      <c r="G604" s="82"/>
      <c r="H604" s="83"/>
      <c r="I604" s="82"/>
      <c r="J604" s="82"/>
    </row>
    <row r="605">
      <c r="A605" s="82"/>
      <c r="B605" s="82"/>
      <c r="C605" s="82"/>
      <c r="E605" s="82"/>
      <c r="F605" s="83"/>
      <c r="G605" s="82"/>
      <c r="H605" s="83"/>
      <c r="I605" s="82"/>
      <c r="J605" s="82"/>
    </row>
    <row r="606">
      <c r="A606" s="82"/>
      <c r="B606" s="82"/>
      <c r="C606" s="82"/>
      <c r="E606" s="82"/>
      <c r="F606" s="83"/>
      <c r="G606" s="82"/>
      <c r="H606" s="83"/>
      <c r="I606" s="82"/>
      <c r="J606" s="82"/>
    </row>
    <row r="607">
      <c r="A607" s="82"/>
      <c r="B607" s="82"/>
      <c r="C607" s="82"/>
      <c r="E607" s="82"/>
      <c r="F607" s="83"/>
      <c r="G607" s="82"/>
      <c r="H607" s="83"/>
      <c r="I607" s="82"/>
      <c r="J607" s="82"/>
    </row>
    <row r="608">
      <c r="A608" s="82"/>
      <c r="B608" s="82"/>
      <c r="C608" s="82"/>
      <c r="E608" s="82"/>
      <c r="F608" s="83"/>
      <c r="G608" s="82"/>
      <c r="H608" s="83"/>
      <c r="I608" s="82"/>
      <c r="J608" s="82"/>
    </row>
    <row r="609">
      <c r="A609" s="82"/>
      <c r="B609" s="82"/>
      <c r="C609" s="82"/>
      <c r="E609" s="82"/>
      <c r="F609" s="83"/>
      <c r="G609" s="82"/>
      <c r="H609" s="83"/>
      <c r="I609" s="82"/>
      <c r="J609" s="82"/>
    </row>
    <row r="610">
      <c r="A610" s="82"/>
      <c r="B610" s="82"/>
      <c r="C610" s="82"/>
      <c r="E610" s="82"/>
      <c r="F610" s="83"/>
      <c r="G610" s="82"/>
      <c r="H610" s="83"/>
      <c r="I610" s="82"/>
      <c r="J610" s="82"/>
    </row>
    <row r="611">
      <c r="A611" s="82"/>
      <c r="B611" s="82"/>
      <c r="C611" s="82"/>
      <c r="E611" s="82"/>
      <c r="F611" s="83"/>
      <c r="G611" s="82"/>
      <c r="H611" s="83"/>
      <c r="I611" s="82"/>
      <c r="J611" s="82"/>
    </row>
    <row r="612">
      <c r="A612" s="82"/>
      <c r="B612" s="82"/>
      <c r="C612" s="82"/>
      <c r="E612" s="82"/>
      <c r="F612" s="83"/>
      <c r="G612" s="82"/>
      <c r="H612" s="83"/>
      <c r="I612" s="82"/>
      <c r="J612" s="82"/>
    </row>
    <row r="613">
      <c r="A613" s="82"/>
      <c r="B613" s="82"/>
      <c r="C613" s="82"/>
      <c r="E613" s="82"/>
      <c r="F613" s="83"/>
      <c r="G613" s="82"/>
      <c r="H613" s="83"/>
      <c r="I613" s="82"/>
      <c r="J613" s="82"/>
    </row>
    <row r="614">
      <c r="A614" s="82"/>
      <c r="B614" s="82"/>
      <c r="C614" s="82"/>
      <c r="E614" s="82"/>
      <c r="F614" s="83"/>
      <c r="G614" s="82"/>
      <c r="H614" s="83"/>
      <c r="I614" s="82"/>
      <c r="J614" s="82"/>
    </row>
    <row r="615">
      <c r="A615" s="82"/>
      <c r="B615" s="82"/>
      <c r="C615" s="82"/>
      <c r="E615" s="82"/>
      <c r="F615" s="83"/>
      <c r="G615" s="82"/>
      <c r="H615" s="83"/>
      <c r="I615" s="82"/>
      <c r="J615" s="82"/>
    </row>
    <row r="616">
      <c r="A616" s="82"/>
      <c r="B616" s="82"/>
      <c r="C616" s="82"/>
      <c r="E616" s="82"/>
      <c r="F616" s="83"/>
      <c r="G616" s="82"/>
      <c r="H616" s="83"/>
      <c r="I616" s="82"/>
      <c r="J616" s="82"/>
    </row>
    <row r="617">
      <c r="A617" s="82"/>
      <c r="B617" s="82"/>
      <c r="C617" s="82"/>
      <c r="E617" s="82"/>
      <c r="F617" s="83"/>
      <c r="G617" s="82"/>
      <c r="H617" s="83"/>
      <c r="I617" s="82"/>
      <c r="J617" s="82"/>
    </row>
    <row r="618">
      <c r="A618" s="82"/>
      <c r="B618" s="82"/>
      <c r="C618" s="82"/>
      <c r="E618" s="82"/>
      <c r="F618" s="83"/>
      <c r="G618" s="82"/>
      <c r="H618" s="83"/>
      <c r="I618" s="82"/>
      <c r="J618" s="82"/>
    </row>
    <row r="619">
      <c r="A619" s="82"/>
      <c r="B619" s="82"/>
      <c r="C619" s="82"/>
      <c r="E619" s="82"/>
      <c r="F619" s="83"/>
      <c r="G619" s="82"/>
      <c r="H619" s="83"/>
      <c r="I619" s="82"/>
      <c r="J619" s="82"/>
    </row>
    <row r="620">
      <c r="A620" s="82"/>
      <c r="B620" s="82"/>
      <c r="C620" s="82"/>
      <c r="E620" s="82"/>
      <c r="F620" s="83"/>
      <c r="G620" s="82"/>
      <c r="H620" s="83"/>
      <c r="I620" s="82"/>
      <c r="J620" s="82"/>
    </row>
    <row r="621">
      <c r="A621" s="82"/>
      <c r="B621" s="82"/>
      <c r="C621" s="82"/>
      <c r="E621" s="82"/>
      <c r="F621" s="83"/>
      <c r="G621" s="82"/>
      <c r="H621" s="83"/>
      <c r="I621" s="82"/>
      <c r="J621" s="82"/>
    </row>
    <row r="622">
      <c r="A622" s="82"/>
      <c r="B622" s="82"/>
      <c r="C622" s="82"/>
      <c r="E622" s="82"/>
      <c r="F622" s="83"/>
      <c r="G622" s="82"/>
      <c r="H622" s="83"/>
      <c r="I622" s="82"/>
      <c r="J622" s="82"/>
    </row>
    <row r="623">
      <c r="A623" s="82"/>
      <c r="B623" s="82"/>
      <c r="C623" s="82"/>
      <c r="E623" s="82"/>
      <c r="F623" s="83"/>
      <c r="G623" s="82"/>
      <c r="H623" s="83"/>
      <c r="I623" s="82"/>
      <c r="J623" s="82"/>
    </row>
    <row r="624">
      <c r="A624" s="82"/>
      <c r="B624" s="82"/>
      <c r="C624" s="82"/>
      <c r="E624" s="82"/>
      <c r="F624" s="83"/>
      <c r="G624" s="82"/>
      <c r="H624" s="83"/>
      <c r="I624" s="82"/>
      <c r="J624" s="82"/>
    </row>
    <row r="625">
      <c r="A625" s="82"/>
      <c r="B625" s="82"/>
      <c r="C625" s="82"/>
      <c r="E625" s="82"/>
      <c r="F625" s="83"/>
      <c r="G625" s="82"/>
      <c r="H625" s="83"/>
      <c r="I625" s="82"/>
      <c r="J625" s="82"/>
    </row>
    <row r="626">
      <c r="A626" s="82"/>
      <c r="B626" s="82"/>
      <c r="C626" s="82"/>
      <c r="E626" s="82"/>
      <c r="F626" s="83"/>
      <c r="G626" s="82"/>
      <c r="H626" s="83"/>
      <c r="I626" s="82"/>
      <c r="J626" s="82"/>
    </row>
    <row r="627">
      <c r="A627" s="82"/>
      <c r="B627" s="82"/>
      <c r="C627" s="82"/>
      <c r="E627" s="82"/>
      <c r="F627" s="83"/>
      <c r="G627" s="82"/>
      <c r="H627" s="83"/>
      <c r="I627" s="82"/>
      <c r="J627" s="82"/>
    </row>
    <row r="628">
      <c r="A628" s="82"/>
      <c r="B628" s="82"/>
      <c r="C628" s="82"/>
      <c r="E628" s="82"/>
      <c r="F628" s="83"/>
      <c r="G628" s="82"/>
      <c r="H628" s="83"/>
      <c r="I628" s="82"/>
      <c r="J628" s="82"/>
    </row>
    <row r="629">
      <c r="A629" s="82"/>
      <c r="B629" s="82"/>
      <c r="C629" s="82"/>
      <c r="E629" s="82"/>
      <c r="F629" s="83"/>
      <c r="G629" s="82"/>
      <c r="H629" s="83"/>
      <c r="I629" s="82"/>
      <c r="J629" s="82"/>
    </row>
    <row r="630">
      <c r="A630" s="82"/>
      <c r="B630" s="82"/>
      <c r="C630" s="82"/>
      <c r="E630" s="82"/>
      <c r="F630" s="83"/>
      <c r="G630" s="82"/>
      <c r="H630" s="83"/>
      <c r="I630" s="82"/>
      <c r="J630" s="82"/>
    </row>
    <row r="631">
      <c r="A631" s="82"/>
      <c r="B631" s="82"/>
      <c r="C631" s="82"/>
      <c r="E631" s="82"/>
      <c r="F631" s="83"/>
      <c r="G631" s="82"/>
      <c r="H631" s="83"/>
      <c r="I631" s="82"/>
      <c r="J631" s="82"/>
    </row>
    <row r="632">
      <c r="A632" s="82"/>
      <c r="B632" s="82"/>
      <c r="C632" s="82"/>
      <c r="E632" s="82"/>
      <c r="F632" s="83"/>
      <c r="G632" s="82"/>
      <c r="H632" s="83"/>
      <c r="I632" s="82"/>
      <c r="J632" s="82"/>
    </row>
    <row r="633">
      <c r="A633" s="82"/>
      <c r="B633" s="82"/>
      <c r="C633" s="82"/>
      <c r="E633" s="82"/>
      <c r="F633" s="83"/>
      <c r="G633" s="82"/>
      <c r="H633" s="83"/>
      <c r="I633" s="82"/>
      <c r="J633" s="82"/>
    </row>
    <row r="634">
      <c r="A634" s="82"/>
      <c r="B634" s="82"/>
      <c r="C634" s="82"/>
      <c r="E634" s="82"/>
      <c r="F634" s="83"/>
      <c r="G634" s="82"/>
      <c r="H634" s="83"/>
      <c r="I634" s="82"/>
      <c r="J634" s="82"/>
    </row>
    <row r="635">
      <c r="A635" s="82"/>
      <c r="B635" s="82"/>
      <c r="C635" s="82"/>
      <c r="E635" s="82"/>
      <c r="F635" s="83"/>
      <c r="G635" s="82"/>
      <c r="H635" s="83"/>
      <c r="I635" s="82"/>
      <c r="J635" s="82"/>
    </row>
    <row r="636">
      <c r="A636" s="82"/>
      <c r="B636" s="82"/>
      <c r="C636" s="82"/>
      <c r="E636" s="82"/>
      <c r="F636" s="83"/>
      <c r="G636" s="82"/>
      <c r="H636" s="83"/>
      <c r="I636" s="82"/>
      <c r="J636" s="82"/>
    </row>
    <row r="637">
      <c r="A637" s="82"/>
      <c r="B637" s="82"/>
      <c r="C637" s="82"/>
      <c r="E637" s="82"/>
      <c r="F637" s="83"/>
      <c r="G637" s="82"/>
      <c r="H637" s="83"/>
      <c r="I637" s="82"/>
      <c r="J637" s="82"/>
    </row>
    <row r="638">
      <c r="A638" s="82"/>
      <c r="B638" s="82"/>
      <c r="C638" s="82"/>
      <c r="E638" s="82"/>
      <c r="F638" s="83"/>
      <c r="G638" s="82"/>
      <c r="H638" s="83"/>
      <c r="I638" s="82"/>
      <c r="J638" s="82"/>
    </row>
    <row r="639">
      <c r="A639" s="82"/>
      <c r="B639" s="82"/>
      <c r="C639" s="82"/>
      <c r="E639" s="82"/>
      <c r="F639" s="83"/>
      <c r="G639" s="82"/>
      <c r="H639" s="83"/>
      <c r="I639" s="82"/>
      <c r="J639" s="82"/>
    </row>
    <row r="640">
      <c r="A640" s="82"/>
      <c r="B640" s="82"/>
      <c r="C640" s="82"/>
      <c r="E640" s="82"/>
      <c r="F640" s="83"/>
      <c r="G640" s="82"/>
      <c r="H640" s="83"/>
      <c r="I640" s="82"/>
      <c r="J640" s="82"/>
    </row>
    <row r="641">
      <c r="A641" s="82"/>
      <c r="B641" s="82"/>
      <c r="C641" s="82"/>
      <c r="E641" s="82"/>
      <c r="F641" s="83"/>
      <c r="G641" s="82"/>
      <c r="H641" s="83"/>
      <c r="I641" s="82"/>
      <c r="J641" s="82"/>
    </row>
    <row r="642">
      <c r="A642" s="82"/>
      <c r="B642" s="82"/>
      <c r="C642" s="82"/>
      <c r="E642" s="82"/>
      <c r="F642" s="83"/>
      <c r="G642" s="82"/>
      <c r="H642" s="83"/>
      <c r="I642" s="82"/>
      <c r="J642" s="82"/>
    </row>
    <row r="643">
      <c r="A643" s="82"/>
      <c r="B643" s="82"/>
      <c r="C643" s="82"/>
      <c r="E643" s="82"/>
      <c r="F643" s="83"/>
      <c r="G643" s="82"/>
      <c r="H643" s="83"/>
      <c r="I643" s="82"/>
      <c r="J643" s="82"/>
    </row>
    <row r="644">
      <c r="A644" s="82"/>
      <c r="B644" s="82"/>
      <c r="C644" s="82"/>
      <c r="E644" s="82"/>
      <c r="F644" s="83"/>
      <c r="G644" s="82"/>
      <c r="H644" s="83"/>
      <c r="I644" s="82"/>
      <c r="J644" s="82"/>
    </row>
    <row r="645">
      <c r="A645" s="82"/>
      <c r="B645" s="82"/>
      <c r="C645" s="82"/>
      <c r="E645" s="82"/>
      <c r="F645" s="83"/>
      <c r="G645" s="82"/>
      <c r="H645" s="83"/>
      <c r="I645" s="82"/>
      <c r="J645" s="82"/>
    </row>
    <row r="646">
      <c r="A646" s="82"/>
      <c r="B646" s="82"/>
      <c r="C646" s="82"/>
      <c r="E646" s="82"/>
      <c r="F646" s="83"/>
      <c r="G646" s="82"/>
      <c r="H646" s="83"/>
      <c r="I646" s="82"/>
      <c r="J646" s="82"/>
    </row>
    <row r="647">
      <c r="A647" s="82"/>
      <c r="B647" s="82"/>
      <c r="C647" s="82"/>
      <c r="E647" s="82"/>
      <c r="F647" s="83"/>
      <c r="G647" s="82"/>
      <c r="H647" s="83"/>
      <c r="I647" s="82"/>
      <c r="J647" s="82"/>
    </row>
    <row r="648">
      <c r="A648" s="82"/>
      <c r="B648" s="82"/>
      <c r="C648" s="82"/>
      <c r="E648" s="82"/>
      <c r="F648" s="83"/>
      <c r="G648" s="82"/>
      <c r="H648" s="83"/>
      <c r="I648" s="82"/>
      <c r="J648" s="82"/>
    </row>
    <row r="649">
      <c r="A649" s="82"/>
      <c r="B649" s="82"/>
      <c r="C649" s="82"/>
      <c r="E649" s="82"/>
      <c r="F649" s="83"/>
      <c r="G649" s="82"/>
      <c r="H649" s="83"/>
      <c r="I649" s="82"/>
      <c r="J649" s="82"/>
    </row>
    <row r="650">
      <c r="A650" s="82"/>
      <c r="B650" s="82"/>
      <c r="C650" s="82"/>
      <c r="E650" s="82"/>
      <c r="F650" s="83"/>
      <c r="G650" s="82"/>
      <c r="H650" s="83"/>
      <c r="I650" s="82"/>
      <c r="J650" s="82"/>
    </row>
    <row r="651">
      <c r="A651" s="82"/>
      <c r="B651" s="82"/>
      <c r="C651" s="82"/>
      <c r="E651" s="82"/>
      <c r="F651" s="83"/>
      <c r="G651" s="82"/>
      <c r="H651" s="83"/>
      <c r="I651" s="82"/>
      <c r="J651" s="82"/>
    </row>
    <row r="652">
      <c r="A652" s="82"/>
      <c r="B652" s="82"/>
      <c r="C652" s="82"/>
      <c r="E652" s="82"/>
      <c r="F652" s="83"/>
      <c r="G652" s="82"/>
      <c r="H652" s="83"/>
      <c r="I652" s="82"/>
      <c r="J652" s="82"/>
    </row>
    <row r="653">
      <c r="A653" s="82"/>
      <c r="B653" s="82"/>
      <c r="C653" s="82"/>
      <c r="E653" s="82"/>
      <c r="F653" s="83"/>
      <c r="G653" s="82"/>
      <c r="H653" s="83"/>
      <c r="I653" s="82"/>
      <c r="J653" s="82"/>
    </row>
    <row r="654">
      <c r="A654" s="82"/>
      <c r="B654" s="82"/>
      <c r="C654" s="82"/>
      <c r="E654" s="82"/>
      <c r="F654" s="83"/>
      <c r="G654" s="82"/>
      <c r="H654" s="83"/>
      <c r="I654" s="82"/>
      <c r="J654" s="82"/>
    </row>
    <row r="655">
      <c r="A655" s="82"/>
      <c r="B655" s="82"/>
      <c r="C655" s="82"/>
      <c r="E655" s="82"/>
      <c r="F655" s="83"/>
      <c r="G655" s="82"/>
      <c r="H655" s="83"/>
      <c r="I655" s="82"/>
      <c r="J655" s="82"/>
    </row>
    <row r="656">
      <c r="A656" s="82"/>
      <c r="B656" s="82"/>
      <c r="C656" s="82"/>
      <c r="E656" s="82"/>
      <c r="F656" s="83"/>
      <c r="G656" s="82"/>
      <c r="H656" s="83"/>
      <c r="I656" s="82"/>
      <c r="J656" s="82"/>
    </row>
    <row r="657">
      <c r="A657" s="82"/>
      <c r="B657" s="82"/>
      <c r="C657" s="82"/>
      <c r="E657" s="82"/>
      <c r="F657" s="83"/>
      <c r="G657" s="82"/>
      <c r="H657" s="83"/>
      <c r="I657" s="82"/>
      <c r="J657" s="82"/>
    </row>
    <row r="658">
      <c r="A658" s="82"/>
      <c r="B658" s="82"/>
      <c r="C658" s="82"/>
      <c r="E658" s="82"/>
      <c r="F658" s="83"/>
      <c r="G658" s="82"/>
      <c r="H658" s="83"/>
      <c r="I658" s="82"/>
      <c r="J658" s="82"/>
    </row>
    <row r="659">
      <c r="A659" s="82"/>
      <c r="B659" s="82"/>
      <c r="C659" s="82"/>
      <c r="E659" s="82"/>
      <c r="F659" s="83"/>
      <c r="G659" s="82"/>
      <c r="H659" s="83"/>
      <c r="I659" s="82"/>
      <c r="J659" s="82"/>
    </row>
    <row r="660">
      <c r="A660" s="82"/>
      <c r="B660" s="82"/>
      <c r="C660" s="82"/>
      <c r="E660" s="82"/>
      <c r="F660" s="83"/>
      <c r="G660" s="82"/>
      <c r="H660" s="83"/>
      <c r="I660" s="82"/>
      <c r="J660" s="82"/>
    </row>
    <row r="661">
      <c r="A661" s="82"/>
      <c r="B661" s="82"/>
      <c r="C661" s="82"/>
      <c r="E661" s="82"/>
      <c r="F661" s="83"/>
      <c r="G661" s="82"/>
      <c r="H661" s="83"/>
      <c r="I661" s="82"/>
      <c r="J661" s="82"/>
    </row>
    <row r="662">
      <c r="A662" s="82"/>
      <c r="B662" s="82"/>
      <c r="C662" s="82"/>
      <c r="E662" s="82"/>
      <c r="F662" s="83"/>
      <c r="G662" s="82"/>
      <c r="H662" s="83"/>
      <c r="I662" s="82"/>
      <c r="J662" s="82"/>
    </row>
    <row r="663">
      <c r="A663" s="82"/>
      <c r="B663" s="82"/>
      <c r="C663" s="82"/>
      <c r="E663" s="82"/>
      <c r="F663" s="83"/>
      <c r="G663" s="82"/>
      <c r="H663" s="83"/>
      <c r="I663" s="82"/>
      <c r="J663" s="82"/>
    </row>
    <row r="664">
      <c r="A664" s="82"/>
      <c r="B664" s="82"/>
      <c r="C664" s="82"/>
      <c r="E664" s="82"/>
      <c r="F664" s="83"/>
      <c r="G664" s="82"/>
      <c r="H664" s="83"/>
      <c r="I664" s="82"/>
      <c r="J664" s="82"/>
    </row>
    <row r="665">
      <c r="A665" s="82"/>
      <c r="B665" s="82"/>
      <c r="C665" s="82"/>
      <c r="E665" s="82"/>
      <c r="F665" s="83"/>
      <c r="G665" s="82"/>
      <c r="H665" s="83"/>
      <c r="I665" s="82"/>
      <c r="J665" s="82"/>
    </row>
    <row r="666">
      <c r="A666" s="82"/>
      <c r="B666" s="82"/>
      <c r="C666" s="82"/>
      <c r="E666" s="82"/>
      <c r="F666" s="83"/>
      <c r="G666" s="82"/>
      <c r="H666" s="83"/>
      <c r="I666" s="82"/>
      <c r="J666" s="82"/>
    </row>
    <row r="667">
      <c r="A667" s="82"/>
      <c r="B667" s="82"/>
      <c r="C667" s="82"/>
      <c r="E667" s="82"/>
      <c r="F667" s="83"/>
      <c r="G667" s="82"/>
      <c r="H667" s="83"/>
      <c r="I667" s="82"/>
      <c r="J667" s="82"/>
    </row>
    <row r="668">
      <c r="A668" s="82"/>
      <c r="B668" s="82"/>
      <c r="C668" s="82"/>
      <c r="E668" s="82"/>
      <c r="F668" s="83"/>
      <c r="G668" s="82"/>
      <c r="H668" s="83"/>
      <c r="I668" s="82"/>
      <c r="J668" s="82"/>
    </row>
    <row r="669">
      <c r="A669" s="82"/>
      <c r="B669" s="82"/>
      <c r="C669" s="82"/>
      <c r="E669" s="82"/>
      <c r="F669" s="83"/>
      <c r="G669" s="82"/>
      <c r="H669" s="83"/>
      <c r="I669" s="82"/>
      <c r="J669" s="82"/>
    </row>
    <row r="670">
      <c r="A670" s="82"/>
      <c r="B670" s="82"/>
      <c r="C670" s="82"/>
      <c r="E670" s="82"/>
      <c r="F670" s="83"/>
      <c r="G670" s="82"/>
      <c r="H670" s="83"/>
      <c r="I670" s="82"/>
      <c r="J670" s="82"/>
    </row>
    <row r="671">
      <c r="A671" s="82"/>
      <c r="B671" s="82"/>
      <c r="C671" s="82"/>
      <c r="E671" s="82"/>
      <c r="F671" s="83"/>
      <c r="G671" s="82"/>
      <c r="H671" s="83"/>
      <c r="I671" s="82"/>
      <c r="J671" s="82"/>
    </row>
    <row r="672">
      <c r="A672" s="82"/>
      <c r="B672" s="82"/>
      <c r="C672" s="82"/>
      <c r="E672" s="82"/>
      <c r="F672" s="83"/>
      <c r="G672" s="82"/>
      <c r="H672" s="83"/>
      <c r="I672" s="82"/>
      <c r="J672" s="82"/>
    </row>
    <row r="673">
      <c r="A673" s="82"/>
      <c r="B673" s="82"/>
      <c r="C673" s="82"/>
      <c r="E673" s="82"/>
      <c r="F673" s="83"/>
      <c r="G673" s="82"/>
      <c r="H673" s="83"/>
      <c r="I673" s="82"/>
      <c r="J673" s="82"/>
    </row>
    <row r="674">
      <c r="A674" s="82"/>
      <c r="B674" s="82"/>
      <c r="C674" s="82"/>
      <c r="E674" s="82"/>
      <c r="F674" s="83"/>
      <c r="G674" s="82"/>
      <c r="H674" s="83"/>
      <c r="I674" s="82"/>
      <c r="J674" s="82"/>
    </row>
    <row r="675">
      <c r="A675" s="82"/>
      <c r="B675" s="82"/>
      <c r="C675" s="82"/>
      <c r="E675" s="82"/>
      <c r="F675" s="83"/>
      <c r="G675" s="82"/>
      <c r="H675" s="83"/>
      <c r="I675" s="82"/>
      <c r="J675" s="82"/>
    </row>
    <row r="676">
      <c r="A676" s="82"/>
      <c r="B676" s="82"/>
      <c r="C676" s="82"/>
      <c r="E676" s="82"/>
      <c r="F676" s="83"/>
      <c r="G676" s="82"/>
      <c r="H676" s="83"/>
      <c r="I676" s="82"/>
      <c r="J676" s="82"/>
    </row>
    <row r="677">
      <c r="A677" s="82"/>
      <c r="B677" s="82"/>
      <c r="C677" s="82"/>
      <c r="E677" s="82"/>
      <c r="F677" s="83"/>
      <c r="G677" s="82"/>
      <c r="H677" s="83"/>
      <c r="I677" s="82"/>
      <c r="J677" s="82"/>
    </row>
    <row r="678">
      <c r="A678" s="82"/>
      <c r="B678" s="82"/>
      <c r="C678" s="82"/>
      <c r="E678" s="82"/>
      <c r="F678" s="83"/>
      <c r="G678" s="82"/>
      <c r="H678" s="83"/>
      <c r="I678" s="82"/>
      <c r="J678" s="82"/>
    </row>
    <row r="679">
      <c r="A679" s="82"/>
      <c r="B679" s="82"/>
      <c r="C679" s="82"/>
      <c r="E679" s="82"/>
      <c r="F679" s="83"/>
      <c r="G679" s="82"/>
      <c r="H679" s="83"/>
      <c r="I679" s="82"/>
      <c r="J679" s="82"/>
    </row>
    <row r="680">
      <c r="A680" s="82"/>
      <c r="B680" s="82"/>
      <c r="C680" s="82"/>
      <c r="E680" s="82"/>
      <c r="F680" s="83"/>
      <c r="G680" s="82"/>
      <c r="H680" s="83"/>
      <c r="I680" s="82"/>
      <c r="J680" s="82"/>
    </row>
    <row r="681">
      <c r="A681" s="82"/>
      <c r="B681" s="82"/>
      <c r="C681" s="82"/>
      <c r="E681" s="82"/>
      <c r="F681" s="83"/>
      <c r="G681" s="82"/>
      <c r="H681" s="83"/>
      <c r="I681" s="82"/>
      <c r="J681" s="82"/>
    </row>
    <row r="682">
      <c r="A682" s="82"/>
      <c r="B682" s="82"/>
      <c r="C682" s="82"/>
      <c r="E682" s="82"/>
      <c r="F682" s="83"/>
      <c r="G682" s="82"/>
      <c r="H682" s="83"/>
      <c r="I682" s="82"/>
      <c r="J682" s="82"/>
    </row>
    <row r="683">
      <c r="A683" s="82"/>
      <c r="B683" s="82"/>
      <c r="C683" s="82"/>
      <c r="E683" s="82"/>
      <c r="F683" s="83"/>
      <c r="G683" s="82"/>
      <c r="H683" s="83"/>
      <c r="I683" s="82"/>
      <c r="J683" s="82"/>
    </row>
    <row r="684">
      <c r="A684" s="82"/>
      <c r="B684" s="82"/>
      <c r="C684" s="82"/>
      <c r="E684" s="82"/>
      <c r="F684" s="83"/>
      <c r="G684" s="82"/>
      <c r="H684" s="83"/>
      <c r="I684" s="82"/>
      <c r="J684" s="82"/>
    </row>
    <row r="685">
      <c r="A685" s="82"/>
      <c r="B685" s="82"/>
      <c r="C685" s="82"/>
      <c r="E685" s="82"/>
      <c r="F685" s="83"/>
      <c r="G685" s="82"/>
      <c r="H685" s="83"/>
      <c r="I685" s="82"/>
      <c r="J685" s="82"/>
    </row>
    <row r="686">
      <c r="A686" s="82"/>
      <c r="B686" s="82"/>
      <c r="C686" s="82"/>
      <c r="E686" s="82"/>
      <c r="F686" s="83"/>
      <c r="G686" s="82"/>
      <c r="H686" s="83"/>
      <c r="I686" s="82"/>
      <c r="J686" s="82"/>
    </row>
    <row r="687">
      <c r="A687" s="82"/>
      <c r="B687" s="82"/>
      <c r="C687" s="82"/>
      <c r="E687" s="82"/>
      <c r="F687" s="83"/>
      <c r="G687" s="82"/>
      <c r="H687" s="83"/>
      <c r="I687" s="82"/>
      <c r="J687" s="82"/>
    </row>
    <row r="688">
      <c r="A688" s="82"/>
      <c r="B688" s="82"/>
      <c r="C688" s="82"/>
      <c r="E688" s="82"/>
      <c r="F688" s="83"/>
      <c r="G688" s="82"/>
      <c r="H688" s="83"/>
      <c r="I688" s="82"/>
      <c r="J688" s="82"/>
    </row>
    <row r="689">
      <c r="A689" s="82"/>
      <c r="B689" s="82"/>
      <c r="C689" s="82"/>
      <c r="E689" s="82"/>
      <c r="F689" s="83"/>
      <c r="G689" s="82"/>
      <c r="H689" s="83"/>
      <c r="I689" s="82"/>
      <c r="J689" s="82"/>
    </row>
    <row r="690">
      <c r="A690" s="82"/>
      <c r="B690" s="82"/>
      <c r="C690" s="82"/>
      <c r="E690" s="82"/>
      <c r="F690" s="83"/>
      <c r="G690" s="82"/>
      <c r="H690" s="83"/>
      <c r="I690" s="82"/>
      <c r="J690" s="82"/>
    </row>
    <row r="691">
      <c r="A691" s="82"/>
      <c r="B691" s="82"/>
      <c r="C691" s="82"/>
      <c r="E691" s="82"/>
      <c r="F691" s="83"/>
      <c r="G691" s="82"/>
      <c r="H691" s="83"/>
      <c r="I691" s="82"/>
      <c r="J691" s="82"/>
    </row>
    <row r="692">
      <c r="A692" s="82"/>
      <c r="B692" s="82"/>
      <c r="C692" s="82"/>
      <c r="E692" s="82"/>
      <c r="F692" s="83"/>
      <c r="G692" s="82"/>
      <c r="H692" s="83"/>
      <c r="I692" s="82"/>
      <c r="J692" s="82"/>
    </row>
    <row r="693">
      <c r="A693" s="82"/>
      <c r="B693" s="82"/>
      <c r="C693" s="82"/>
      <c r="E693" s="82"/>
      <c r="F693" s="83"/>
      <c r="G693" s="82"/>
      <c r="H693" s="83"/>
      <c r="I693" s="82"/>
      <c r="J693" s="82"/>
    </row>
    <row r="694">
      <c r="A694" s="82"/>
      <c r="B694" s="82"/>
      <c r="C694" s="82"/>
      <c r="E694" s="82"/>
      <c r="F694" s="83"/>
      <c r="G694" s="82"/>
      <c r="H694" s="83"/>
      <c r="I694" s="82"/>
      <c r="J694" s="82"/>
    </row>
    <row r="695">
      <c r="A695" s="82"/>
      <c r="B695" s="82"/>
      <c r="C695" s="82"/>
      <c r="E695" s="82"/>
      <c r="F695" s="83"/>
      <c r="G695" s="82"/>
      <c r="H695" s="83"/>
      <c r="I695" s="82"/>
      <c r="J695" s="82"/>
    </row>
    <row r="696">
      <c r="A696" s="82"/>
      <c r="B696" s="82"/>
      <c r="C696" s="82"/>
      <c r="E696" s="82"/>
      <c r="F696" s="83"/>
      <c r="G696" s="82"/>
      <c r="H696" s="83"/>
      <c r="I696" s="82"/>
      <c r="J696" s="82"/>
    </row>
    <row r="697">
      <c r="A697" s="82"/>
      <c r="B697" s="82"/>
      <c r="C697" s="82"/>
      <c r="E697" s="82"/>
      <c r="F697" s="83"/>
      <c r="G697" s="82"/>
      <c r="H697" s="83"/>
      <c r="I697" s="82"/>
      <c r="J697" s="82"/>
    </row>
    <row r="698">
      <c r="A698" s="82"/>
      <c r="B698" s="82"/>
      <c r="C698" s="82"/>
      <c r="E698" s="82"/>
      <c r="F698" s="83"/>
      <c r="G698" s="82"/>
      <c r="H698" s="83"/>
      <c r="I698" s="82"/>
      <c r="J698" s="82"/>
    </row>
    <row r="699">
      <c r="A699" s="82"/>
      <c r="B699" s="82"/>
      <c r="C699" s="82"/>
      <c r="E699" s="82"/>
      <c r="F699" s="83"/>
      <c r="G699" s="82"/>
      <c r="H699" s="83"/>
      <c r="I699" s="82"/>
      <c r="J699" s="82"/>
    </row>
    <row r="700">
      <c r="A700" s="82"/>
      <c r="B700" s="82"/>
      <c r="C700" s="82"/>
      <c r="E700" s="82"/>
      <c r="F700" s="83"/>
      <c r="G700" s="82"/>
      <c r="H700" s="83"/>
      <c r="I700" s="82"/>
      <c r="J700" s="82"/>
    </row>
    <row r="701">
      <c r="A701" s="82"/>
      <c r="B701" s="82"/>
      <c r="C701" s="82"/>
      <c r="E701" s="82"/>
      <c r="F701" s="83"/>
      <c r="G701" s="82"/>
      <c r="H701" s="83"/>
      <c r="I701" s="82"/>
      <c r="J701" s="82"/>
    </row>
    <row r="702">
      <c r="A702" s="82"/>
      <c r="B702" s="82"/>
      <c r="C702" s="82"/>
      <c r="E702" s="82"/>
      <c r="F702" s="83"/>
      <c r="G702" s="82"/>
      <c r="H702" s="83"/>
      <c r="I702" s="82"/>
      <c r="J702" s="82"/>
    </row>
    <row r="703">
      <c r="A703" s="82"/>
      <c r="B703" s="82"/>
      <c r="C703" s="82"/>
      <c r="E703" s="82"/>
      <c r="F703" s="83"/>
      <c r="G703" s="82"/>
      <c r="H703" s="83"/>
      <c r="I703" s="82"/>
      <c r="J703" s="82"/>
    </row>
    <row r="704">
      <c r="A704" s="82"/>
      <c r="B704" s="82"/>
      <c r="C704" s="82"/>
      <c r="E704" s="82"/>
      <c r="F704" s="83"/>
      <c r="G704" s="82"/>
      <c r="H704" s="83"/>
      <c r="I704" s="82"/>
      <c r="J704" s="82"/>
    </row>
    <row r="705">
      <c r="A705" s="82"/>
      <c r="B705" s="82"/>
      <c r="C705" s="82"/>
      <c r="E705" s="82"/>
      <c r="F705" s="83"/>
      <c r="G705" s="82"/>
      <c r="H705" s="83"/>
      <c r="I705" s="82"/>
      <c r="J705" s="82"/>
    </row>
    <row r="706">
      <c r="A706" s="82"/>
      <c r="B706" s="82"/>
      <c r="C706" s="82"/>
      <c r="E706" s="82"/>
      <c r="F706" s="83"/>
      <c r="G706" s="82"/>
      <c r="H706" s="83"/>
      <c r="I706" s="82"/>
      <c r="J706" s="82"/>
    </row>
    <row r="707">
      <c r="A707" s="82"/>
      <c r="B707" s="82"/>
      <c r="C707" s="82"/>
      <c r="E707" s="82"/>
      <c r="F707" s="83"/>
      <c r="G707" s="82"/>
      <c r="H707" s="83"/>
      <c r="I707" s="82"/>
      <c r="J707" s="82"/>
    </row>
    <row r="708">
      <c r="A708" s="82"/>
      <c r="B708" s="82"/>
      <c r="C708" s="82"/>
      <c r="E708" s="82"/>
      <c r="F708" s="83"/>
      <c r="G708" s="82"/>
      <c r="H708" s="83"/>
      <c r="I708" s="82"/>
      <c r="J708" s="82"/>
    </row>
    <row r="709">
      <c r="A709" s="82"/>
      <c r="B709" s="82"/>
      <c r="C709" s="82"/>
      <c r="E709" s="82"/>
      <c r="F709" s="83"/>
      <c r="G709" s="82"/>
      <c r="H709" s="83"/>
      <c r="I709" s="82"/>
      <c r="J709" s="82"/>
    </row>
    <row r="710">
      <c r="A710" s="82"/>
      <c r="B710" s="82"/>
      <c r="C710" s="82"/>
      <c r="E710" s="82"/>
      <c r="F710" s="83"/>
      <c r="G710" s="82"/>
      <c r="H710" s="83"/>
      <c r="I710" s="82"/>
      <c r="J710" s="82"/>
    </row>
    <row r="711">
      <c r="A711" s="82"/>
      <c r="B711" s="82"/>
      <c r="C711" s="82"/>
      <c r="E711" s="82"/>
      <c r="F711" s="83"/>
      <c r="G711" s="82"/>
      <c r="H711" s="83"/>
      <c r="I711" s="82"/>
      <c r="J711" s="82"/>
    </row>
    <row r="712">
      <c r="A712" s="82"/>
      <c r="B712" s="82"/>
      <c r="C712" s="82"/>
      <c r="E712" s="82"/>
      <c r="F712" s="83"/>
      <c r="G712" s="82"/>
      <c r="H712" s="83"/>
      <c r="I712" s="82"/>
      <c r="J712" s="82"/>
    </row>
    <row r="713">
      <c r="A713" s="82"/>
      <c r="B713" s="82"/>
      <c r="C713" s="82"/>
      <c r="E713" s="82"/>
      <c r="F713" s="83"/>
      <c r="G713" s="82"/>
      <c r="H713" s="83"/>
      <c r="I713" s="82"/>
      <c r="J713" s="82"/>
    </row>
    <row r="714">
      <c r="A714" s="82"/>
      <c r="B714" s="82"/>
      <c r="C714" s="82"/>
      <c r="E714" s="82"/>
      <c r="F714" s="83"/>
      <c r="G714" s="82"/>
      <c r="H714" s="83"/>
      <c r="I714" s="82"/>
      <c r="J714" s="82"/>
    </row>
    <row r="715">
      <c r="A715" s="82"/>
      <c r="B715" s="82"/>
      <c r="C715" s="82"/>
      <c r="E715" s="82"/>
      <c r="F715" s="83"/>
      <c r="G715" s="82"/>
      <c r="H715" s="83"/>
      <c r="I715" s="82"/>
      <c r="J715" s="82"/>
    </row>
    <row r="716">
      <c r="A716" s="82"/>
      <c r="B716" s="82"/>
      <c r="C716" s="82"/>
      <c r="E716" s="82"/>
      <c r="F716" s="83"/>
      <c r="G716" s="82"/>
      <c r="H716" s="83"/>
      <c r="I716" s="82"/>
      <c r="J716" s="82"/>
    </row>
    <row r="717">
      <c r="A717" s="82"/>
      <c r="B717" s="82"/>
      <c r="C717" s="82"/>
      <c r="E717" s="82"/>
      <c r="F717" s="83"/>
      <c r="G717" s="82"/>
      <c r="H717" s="83"/>
      <c r="I717" s="82"/>
      <c r="J717" s="82"/>
    </row>
    <row r="718">
      <c r="A718" s="82"/>
      <c r="B718" s="82"/>
      <c r="C718" s="82"/>
      <c r="E718" s="82"/>
      <c r="F718" s="83"/>
      <c r="G718" s="82"/>
      <c r="H718" s="83"/>
      <c r="I718" s="82"/>
      <c r="J718" s="82"/>
    </row>
    <row r="719">
      <c r="A719" s="82"/>
      <c r="B719" s="82"/>
      <c r="C719" s="82"/>
      <c r="E719" s="82"/>
      <c r="F719" s="83"/>
      <c r="G719" s="82"/>
      <c r="H719" s="83"/>
      <c r="I719" s="82"/>
      <c r="J719" s="82"/>
    </row>
    <row r="720">
      <c r="A720" s="82"/>
      <c r="B720" s="82"/>
      <c r="C720" s="82"/>
      <c r="E720" s="82"/>
      <c r="F720" s="83"/>
      <c r="G720" s="82"/>
      <c r="H720" s="83"/>
      <c r="I720" s="82"/>
      <c r="J720" s="82"/>
    </row>
    <row r="721">
      <c r="A721" s="82"/>
      <c r="B721" s="82"/>
      <c r="C721" s="82"/>
      <c r="E721" s="82"/>
      <c r="F721" s="83"/>
      <c r="G721" s="82"/>
      <c r="H721" s="83"/>
      <c r="I721" s="82"/>
      <c r="J721" s="82"/>
    </row>
    <row r="722">
      <c r="A722" s="82"/>
      <c r="B722" s="82"/>
      <c r="C722" s="82"/>
      <c r="E722" s="82"/>
      <c r="F722" s="83"/>
      <c r="G722" s="82"/>
      <c r="H722" s="83"/>
      <c r="I722" s="82"/>
      <c r="J722" s="82"/>
    </row>
    <row r="723">
      <c r="A723" s="82"/>
      <c r="B723" s="82"/>
      <c r="C723" s="82"/>
      <c r="E723" s="82"/>
      <c r="F723" s="83"/>
      <c r="G723" s="82"/>
      <c r="H723" s="83"/>
      <c r="I723" s="82"/>
      <c r="J723" s="82"/>
    </row>
    <row r="724">
      <c r="A724" s="82"/>
      <c r="B724" s="82"/>
      <c r="C724" s="82"/>
      <c r="E724" s="82"/>
      <c r="F724" s="83"/>
      <c r="G724" s="82"/>
      <c r="H724" s="83"/>
      <c r="I724" s="82"/>
      <c r="J724" s="82"/>
    </row>
    <row r="725">
      <c r="A725" s="82"/>
      <c r="B725" s="82"/>
      <c r="C725" s="82"/>
      <c r="E725" s="82"/>
      <c r="F725" s="83"/>
      <c r="G725" s="82"/>
      <c r="H725" s="83"/>
      <c r="I725" s="82"/>
      <c r="J725" s="82"/>
    </row>
    <row r="726">
      <c r="A726" s="82"/>
      <c r="B726" s="82"/>
      <c r="C726" s="82"/>
      <c r="E726" s="82"/>
      <c r="F726" s="83"/>
      <c r="G726" s="82"/>
      <c r="H726" s="83"/>
      <c r="I726" s="82"/>
      <c r="J726" s="82"/>
    </row>
    <row r="727">
      <c r="A727" s="82"/>
      <c r="B727" s="82"/>
      <c r="C727" s="82"/>
      <c r="E727" s="82"/>
      <c r="F727" s="83"/>
      <c r="G727" s="82"/>
      <c r="H727" s="83"/>
      <c r="I727" s="82"/>
      <c r="J727" s="82"/>
    </row>
    <row r="728">
      <c r="A728" s="82"/>
      <c r="B728" s="82"/>
      <c r="C728" s="82"/>
      <c r="E728" s="82"/>
      <c r="F728" s="83"/>
      <c r="G728" s="82"/>
      <c r="H728" s="83"/>
      <c r="I728" s="82"/>
      <c r="J728" s="82"/>
    </row>
    <row r="729">
      <c r="A729" s="82"/>
      <c r="B729" s="82"/>
      <c r="C729" s="82"/>
      <c r="E729" s="82"/>
      <c r="F729" s="83"/>
      <c r="G729" s="82"/>
      <c r="H729" s="83"/>
      <c r="I729" s="82"/>
      <c r="J729" s="82"/>
    </row>
    <row r="730">
      <c r="A730" s="82"/>
      <c r="B730" s="82"/>
      <c r="C730" s="82"/>
      <c r="E730" s="82"/>
      <c r="F730" s="83"/>
      <c r="G730" s="82"/>
      <c r="H730" s="83"/>
      <c r="I730" s="82"/>
      <c r="J730" s="82"/>
    </row>
    <row r="731">
      <c r="A731" s="82"/>
      <c r="B731" s="82"/>
      <c r="C731" s="82"/>
      <c r="E731" s="82"/>
      <c r="F731" s="83"/>
      <c r="G731" s="82"/>
      <c r="H731" s="83"/>
      <c r="I731" s="82"/>
      <c r="J731" s="82"/>
    </row>
    <row r="732">
      <c r="A732" s="82"/>
      <c r="B732" s="82"/>
      <c r="C732" s="82"/>
      <c r="E732" s="82"/>
      <c r="F732" s="83"/>
      <c r="G732" s="82"/>
      <c r="H732" s="83"/>
      <c r="I732" s="82"/>
      <c r="J732" s="82"/>
    </row>
    <row r="733">
      <c r="A733" s="82"/>
      <c r="B733" s="82"/>
      <c r="C733" s="82"/>
      <c r="E733" s="82"/>
      <c r="F733" s="83"/>
      <c r="G733" s="82"/>
      <c r="H733" s="83"/>
      <c r="I733" s="82"/>
      <c r="J733" s="82"/>
    </row>
    <row r="734">
      <c r="A734" s="82"/>
      <c r="B734" s="82"/>
      <c r="C734" s="82"/>
      <c r="E734" s="82"/>
      <c r="F734" s="83"/>
      <c r="G734" s="82"/>
      <c r="H734" s="83"/>
      <c r="I734" s="82"/>
      <c r="J734" s="82"/>
    </row>
    <row r="735">
      <c r="A735" s="82"/>
      <c r="B735" s="82"/>
      <c r="C735" s="82"/>
      <c r="E735" s="82"/>
      <c r="F735" s="83"/>
      <c r="G735" s="82"/>
      <c r="H735" s="83"/>
      <c r="I735" s="82"/>
      <c r="J735" s="82"/>
    </row>
    <row r="736">
      <c r="A736" s="82"/>
      <c r="B736" s="82"/>
      <c r="C736" s="82"/>
      <c r="E736" s="82"/>
      <c r="F736" s="83"/>
      <c r="G736" s="82"/>
      <c r="H736" s="83"/>
      <c r="I736" s="82"/>
      <c r="J736" s="82"/>
    </row>
    <row r="737">
      <c r="A737" s="82"/>
      <c r="B737" s="82"/>
      <c r="C737" s="82"/>
      <c r="E737" s="82"/>
      <c r="F737" s="83"/>
      <c r="G737" s="82"/>
      <c r="H737" s="83"/>
      <c r="I737" s="82"/>
      <c r="J737" s="82"/>
    </row>
    <row r="738">
      <c r="A738" s="82"/>
      <c r="B738" s="82"/>
      <c r="C738" s="82"/>
      <c r="E738" s="82"/>
      <c r="F738" s="83"/>
      <c r="G738" s="82"/>
      <c r="H738" s="83"/>
      <c r="I738" s="82"/>
      <c r="J738" s="82"/>
    </row>
    <row r="739">
      <c r="A739" s="82"/>
      <c r="B739" s="82"/>
      <c r="C739" s="82"/>
      <c r="E739" s="82"/>
      <c r="F739" s="83"/>
      <c r="G739" s="82"/>
      <c r="H739" s="83"/>
      <c r="I739" s="82"/>
      <c r="J739" s="82"/>
    </row>
    <row r="740">
      <c r="A740" s="82"/>
      <c r="B740" s="82"/>
      <c r="C740" s="82"/>
      <c r="E740" s="82"/>
      <c r="F740" s="83"/>
      <c r="G740" s="82"/>
      <c r="H740" s="83"/>
      <c r="I740" s="82"/>
      <c r="J740" s="82"/>
    </row>
    <row r="741">
      <c r="A741" s="82"/>
      <c r="B741" s="82"/>
      <c r="C741" s="82"/>
      <c r="E741" s="82"/>
      <c r="F741" s="83"/>
      <c r="G741" s="82"/>
      <c r="H741" s="83"/>
      <c r="I741" s="82"/>
      <c r="J741" s="82"/>
    </row>
    <row r="742">
      <c r="A742" s="82"/>
      <c r="B742" s="82"/>
      <c r="C742" s="82"/>
      <c r="E742" s="82"/>
      <c r="F742" s="83"/>
      <c r="G742" s="82"/>
      <c r="H742" s="83"/>
      <c r="I742" s="82"/>
      <c r="J742" s="82"/>
    </row>
    <row r="743">
      <c r="A743" s="82"/>
      <c r="B743" s="82"/>
      <c r="C743" s="82"/>
      <c r="E743" s="82"/>
      <c r="F743" s="83"/>
      <c r="G743" s="82"/>
      <c r="H743" s="83"/>
      <c r="I743" s="82"/>
      <c r="J743" s="82"/>
    </row>
    <row r="744">
      <c r="A744" s="82"/>
      <c r="B744" s="82"/>
      <c r="C744" s="82"/>
      <c r="E744" s="82"/>
      <c r="F744" s="83"/>
      <c r="G744" s="82"/>
      <c r="H744" s="83"/>
      <c r="I744" s="82"/>
      <c r="J744" s="82"/>
    </row>
    <row r="745">
      <c r="A745" s="82"/>
      <c r="B745" s="82"/>
      <c r="C745" s="82"/>
      <c r="E745" s="82"/>
      <c r="F745" s="83"/>
      <c r="G745" s="82"/>
      <c r="H745" s="83"/>
      <c r="I745" s="82"/>
      <c r="J745" s="82"/>
    </row>
    <row r="746">
      <c r="A746" s="82"/>
      <c r="B746" s="82"/>
      <c r="C746" s="82"/>
      <c r="E746" s="82"/>
      <c r="F746" s="83"/>
      <c r="G746" s="82"/>
      <c r="H746" s="83"/>
      <c r="I746" s="82"/>
      <c r="J746" s="82"/>
    </row>
    <row r="747">
      <c r="A747" s="82"/>
      <c r="B747" s="82"/>
      <c r="C747" s="82"/>
      <c r="E747" s="82"/>
      <c r="F747" s="83"/>
      <c r="G747" s="82"/>
      <c r="H747" s="83"/>
      <c r="I747" s="82"/>
      <c r="J747" s="82"/>
    </row>
    <row r="748">
      <c r="A748" s="82"/>
      <c r="B748" s="82"/>
      <c r="C748" s="82"/>
      <c r="E748" s="82"/>
      <c r="F748" s="83"/>
      <c r="G748" s="82"/>
      <c r="H748" s="83"/>
      <c r="I748" s="82"/>
      <c r="J748" s="82"/>
    </row>
    <row r="749">
      <c r="A749" s="82"/>
      <c r="B749" s="82"/>
      <c r="C749" s="82"/>
      <c r="E749" s="82"/>
      <c r="F749" s="83"/>
      <c r="G749" s="82"/>
      <c r="H749" s="83"/>
      <c r="I749" s="82"/>
      <c r="J749" s="82"/>
    </row>
    <row r="750">
      <c r="A750" s="82"/>
      <c r="B750" s="82"/>
      <c r="C750" s="82"/>
      <c r="E750" s="82"/>
      <c r="F750" s="83"/>
      <c r="G750" s="82"/>
      <c r="H750" s="83"/>
      <c r="I750" s="82"/>
      <c r="J750" s="82"/>
    </row>
    <row r="751">
      <c r="A751" s="82"/>
      <c r="B751" s="82"/>
      <c r="C751" s="82"/>
      <c r="E751" s="82"/>
      <c r="F751" s="83"/>
      <c r="G751" s="82"/>
      <c r="H751" s="83"/>
      <c r="I751" s="82"/>
      <c r="J751" s="82"/>
    </row>
    <row r="752">
      <c r="A752" s="82"/>
      <c r="B752" s="82"/>
      <c r="C752" s="82"/>
      <c r="E752" s="82"/>
      <c r="F752" s="83"/>
      <c r="G752" s="82"/>
      <c r="H752" s="83"/>
      <c r="I752" s="82"/>
      <c r="J752" s="82"/>
    </row>
    <row r="753">
      <c r="A753" s="82"/>
      <c r="B753" s="82"/>
      <c r="C753" s="82"/>
      <c r="E753" s="82"/>
      <c r="F753" s="83"/>
      <c r="G753" s="82"/>
      <c r="H753" s="83"/>
      <c r="I753" s="82"/>
      <c r="J753" s="82"/>
    </row>
    <row r="754">
      <c r="A754" s="82"/>
      <c r="B754" s="82"/>
      <c r="C754" s="82"/>
      <c r="E754" s="82"/>
      <c r="F754" s="83"/>
      <c r="G754" s="82"/>
      <c r="H754" s="83"/>
      <c r="I754" s="82"/>
      <c r="J754" s="82"/>
    </row>
    <row r="755">
      <c r="A755" s="82"/>
      <c r="B755" s="82"/>
      <c r="C755" s="82"/>
      <c r="E755" s="82"/>
      <c r="F755" s="83"/>
      <c r="G755" s="82"/>
      <c r="H755" s="83"/>
      <c r="I755" s="82"/>
      <c r="J755" s="82"/>
    </row>
    <row r="756">
      <c r="A756" s="82"/>
      <c r="B756" s="82"/>
      <c r="C756" s="82"/>
      <c r="E756" s="82"/>
      <c r="F756" s="83"/>
      <c r="G756" s="82"/>
      <c r="H756" s="83"/>
      <c r="I756" s="82"/>
      <c r="J756" s="82"/>
    </row>
    <row r="757">
      <c r="A757" s="82"/>
      <c r="B757" s="82"/>
      <c r="C757" s="82"/>
      <c r="E757" s="82"/>
      <c r="F757" s="83"/>
      <c r="G757" s="82"/>
      <c r="H757" s="83"/>
      <c r="I757" s="82"/>
      <c r="J757" s="82"/>
    </row>
    <row r="758">
      <c r="A758" s="82"/>
      <c r="B758" s="82"/>
      <c r="C758" s="82"/>
      <c r="E758" s="82"/>
      <c r="F758" s="83"/>
      <c r="G758" s="82"/>
      <c r="H758" s="83"/>
      <c r="I758" s="82"/>
      <c r="J758" s="82"/>
    </row>
    <row r="759">
      <c r="A759" s="82"/>
      <c r="B759" s="82"/>
      <c r="C759" s="82"/>
      <c r="E759" s="82"/>
      <c r="F759" s="83"/>
      <c r="G759" s="82"/>
      <c r="H759" s="83"/>
      <c r="I759" s="82"/>
      <c r="J759" s="82"/>
    </row>
    <row r="760">
      <c r="A760" s="82"/>
      <c r="B760" s="82"/>
      <c r="C760" s="82"/>
      <c r="E760" s="82"/>
      <c r="F760" s="83"/>
      <c r="G760" s="82"/>
      <c r="H760" s="83"/>
      <c r="I760" s="82"/>
      <c r="J760" s="82"/>
    </row>
    <row r="761">
      <c r="A761" s="82"/>
      <c r="B761" s="82"/>
      <c r="C761" s="82"/>
      <c r="E761" s="82"/>
      <c r="F761" s="83"/>
      <c r="G761" s="82"/>
      <c r="H761" s="83"/>
      <c r="I761" s="82"/>
      <c r="J761" s="82"/>
    </row>
    <row r="762">
      <c r="A762" s="82"/>
      <c r="B762" s="82"/>
      <c r="C762" s="82"/>
      <c r="E762" s="82"/>
      <c r="F762" s="83"/>
      <c r="G762" s="82"/>
      <c r="H762" s="83"/>
      <c r="I762" s="82"/>
      <c r="J762" s="82"/>
    </row>
    <row r="763">
      <c r="A763" s="82"/>
      <c r="B763" s="82"/>
      <c r="C763" s="82"/>
      <c r="E763" s="82"/>
      <c r="F763" s="83"/>
      <c r="G763" s="82"/>
      <c r="H763" s="83"/>
      <c r="I763" s="82"/>
      <c r="J763" s="82"/>
    </row>
    <row r="764">
      <c r="A764" s="82"/>
      <c r="B764" s="82"/>
      <c r="C764" s="82"/>
      <c r="E764" s="82"/>
      <c r="F764" s="83"/>
      <c r="G764" s="82"/>
      <c r="H764" s="83"/>
      <c r="I764" s="82"/>
      <c r="J764" s="82"/>
    </row>
    <row r="765">
      <c r="A765" s="82"/>
      <c r="B765" s="82"/>
      <c r="C765" s="82"/>
      <c r="E765" s="82"/>
      <c r="F765" s="83"/>
      <c r="G765" s="82"/>
      <c r="H765" s="83"/>
      <c r="I765" s="82"/>
      <c r="J765" s="82"/>
    </row>
    <row r="766">
      <c r="A766" s="82"/>
      <c r="B766" s="82"/>
      <c r="C766" s="82"/>
      <c r="E766" s="82"/>
      <c r="F766" s="83"/>
      <c r="G766" s="82"/>
      <c r="H766" s="83"/>
      <c r="I766" s="82"/>
      <c r="J766" s="82"/>
    </row>
    <row r="767">
      <c r="A767" s="82"/>
      <c r="B767" s="82"/>
      <c r="C767" s="82"/>
      <c r="E767" s="82"/>
      <c r="F767" s="83"/>
      <c r="G767" s="82"/>
      <c r="H767" s="83"/>
      <c r="I767" s="82"/>
      <c r="J767" s="82"/>
    </row>
    <row r="768">
      <c r="A768" s="82"/>
      <c r="B768" s="82"/>
      <c r="C768" s="82"/>
      <c r="E768" s="82"/>
      <c r="F768" s="83"/>
      <c r="G768" s="82"/>
      <c r="H768" s="83"/>
      <c r="I768" s="82"/>
      <c r="J768" s="82"/>
    </row>
    <row r="769">
      <c r="A769" s="82"/>
      <c r="B769" s="82"/>
      <c r="C769" s="82"/>
      <c r="E769" s="82"/>
      <c r="F769" s="83"/>
      <c r="G769" s="82"/>
      <c r="H769" s="83"/>
      <c r="I769" s="82"/>
      <c r="J769" s="82"/>
    </row>
    <row r="770">
      <c r="A770" s="82"/>
      <c r="B770" s="82"/>
      <c r="C770" s="82"/>
      <c r="E770" s="82"/>
      <c r="F770" s="83"/>
      <c r="G770" s="82"/>
      <c r="H770" s="83"/>
      <c r="I770" s="82"/>
      <c r="J770" s="82"/>
    </row>
    <row r="771">
      <c r="A771" s="82"/>
      <c r="B771" s="82"/>
      <c r="C771" s="82"/>
      <c r="E771" s="82"/>
      <c r="F771" s="83"/>
      <c r="G771" s="82"/>
      <c r="H771" s="83"/>
      <c r="I771" s="82"/>
      <c r="J771" s="82"/>
    </row>
    <row r="772">
      <c r="A772" s="82"/>
      <c r="B772" s="82"/>
      <c r="C772" s="82"/>
      <c r="E772" s="82"/>
      <c r="F772" s="83"/>
      <c r="G772" s="82"/>
      <c r="H772" s="83"/>
      <c r="I772" s="82"/>
      <c r="J772" s="82"/>
    </row>
    <row r="773">
      <c r="A773" s="82"/>
      <c r="B773" s="82"/>
      <c r="C773" s="82"/>
      <c r="E773" s="82"/>
      <c r="F773" s="83"/>
      <c r="G773" s="82"/>
      <c r="H773" s="83"/>
      <c r="I773" s="82"/>
      <c r="J773" s="82"/>
    </row>
    <row r="774">
      <c r="A774" s="82"/>
      <c r="B774" s="82"/>
      <c r="C774" s="82"/>
      <c r="E774" s="82"/>
      <c r="F774" s="83"/>
      <c r="G774" s="82"/>
      <c r="H774" s="83"/>
      <c r="I774" s="82"/>
      <c r="J774" s="82"/>
    </row>
    <row r="775">
      <c r="A775" s="82"/>
      <c r="B775" s="82"/>
      <c r="C775" s="82"/>
      <c r="E775" s="82"/>
      <c r="F775" s="83"/>
      <c r="G775" s="82"/>
      <c r="H775" s="83"/>
      <c r="I775" s="82"/>
      <c r="J775" s="82"/>
    </row>
    <row r="776">
      <c r="A776" s="82"/>
      <c r="B776" s="82"/>
      <c r="C776" s="82"/>
      <c r="E776" s="82"/>
      <c r="F776" s="83"/>
      <c r="G776" s="82"/>
      <c r="H776" s="83"/>
      <c r="I776" s="82"/>
      <c r="J776" s="82"/>
    </row>
    <row r="777">
      <c r="A777" s="82"/>
      <c r="B777" s="82"/>
      <c r="C777" s="82"/>
      <c r="E777" s="82"/>
      <c r="F777" s="83"/>
      <c r="G777" s="82"/>
      <c r="H777" s="83"/>
      <c r="I777" s="82"/>
      <c r="J777" s="82"/>
    </row>
    <row r="778">
      <c r="A778" s="82"/>
      <c r="B778" s="82"/>
      <c r="C778" s="82"/>
      <c r="E778" s="82"/>
      <c r="F778" s="83"/>
      <c r="G778" s="82"/>
      <c r="H778" s="83"/>
      <c r="I778" s="82"/>
      <c r="J778" s="82"/>
    </row>
    <row r="779">
      <c r="A779" s="82"/>
      <c r="B779" s="82"/>
      <c r="C779" s="82"/>
      <c r="E779" s="82"/>
      <c r="F779" s="83"/>
      <c r="G779" s="82"/>
      <c r="H779" s="83"/>
      <c r="I779" s="82"/>
      <c r="J779" s="82"/>
    </row>
    <row r="780">
      <c r="A780" s="82"/>
      <c r="B780" s="82"/>
      <c r="C780" s="82"/>
      <c r="E780" s="82"/>
      <c r="F780" s="83"/>
      <c r="G780" s="82"/>
      <c r="H780" s="83"/>
      <c r="I780" s="82"/>
      <c r="J780" s="82"/>
    </row>
    <row r="781">
      <c r="A781" s="82"/>
      <c r="B781" s="82"/>
      <c r="C781" s="82"/>
      <c r="E781" s="82"/>
      <c r="F781" s="83"/>
      <c r="G781" s="82"/>
      <c r="H781" s="83"/>
      <c r="I781" s="82"/>
      <c r="J781" s="82"/>
    </row>
    <row r="782">
      <c r="A782" s="82"/>
      <c r="B782" s="82"/>
      <c r="C782" s="82"/>
      <c r="E782" s="82"/>
      <c r="F782" s="83"/>
      <c r="G782" s="82"/>
      <c r="H782" s="83"/>
      <c r="I782" s="82"/>
      <c r="J782" s="82"/>
    </row>
    <row r="783">
      <c r="A783" s="82"/>
      <c r="B783" s="82"/>
      <c r="C783" s="82"/>
      <c r="E783" s="82"/>
      <c r="F783" s="83"/>
      <c r="G783" s="82"/>
      <c r="H783" s="83"/>
      <c r="I783" s="82"/>
      <c r="J783" s="82"/>
    </row>
    <row r="784">
      <c r="A784" s="82"/>
      <c r="B784" s="82"/>
      <c r="C784" s="82"/>
      <c r="E784" s="82"/>
      <c r="F784" s="83"/>
      <c r="G784" s="82"/>
      <c r="H784" s="83"/>
      <c r="I784" s="82"/>
      <c r="J784" s="82"/>
    </row>
    <row r="785">
      <c r="A785" s="82"/>
      <c r="B785" s="82"/>
      <c r="C785" s="82"/>
      <c r="E785" s="82"/>
      <c r="F785" s="83"/>
      <c r="G785" s="82"/>
      <c r="H785" s="83"/>
      <c r="I785" s="82"/>
      <c r="J785" s="82"/>
    </row>
    <row r="786">
      <c r="A786" s="82"/>
      <c r="B786" s="82"/>
      <c r="C786" s="82"/>
      <c r="E786" s="82"/>
      <c r="F786" s="83"/>
      <c r="G786" s="82"/>
      <c r="H786" s="83"/>
      <c r="I786" s="82"/>
      <c r="J786" s="82"/>
    </row>
    <row r="787">
      <c r="A787" s="82"/>
      <c r="B787" s="82"/>
      <c r="C787" s="82"/>
      <c r="E787" s="82"/>
      <c r="F787" s="83"/>
      <c r="G787" s="82"/>
      <c r="H787" s="83"/>
      <c r="I787" s="82"/>
      <c r="J787" s="82"/>
    </row>
    <row r="788">
      <c r="A788" s="82"/>
      <c r="B788" s="82"/>
      <c r="C788" s="82"/>
      <c r="E788" s="82"/>
      <c r="F788" s="83"/>
      <c r="G788" s="82"/>
      <c r="H788" s="83"/>
      <c r="I788" s="82"/>
      <c r="J788" s="82"/>
    </row>
    <row r="789">
      <c r="A789" s="82"/>
      <c r="B789" s="82"/>
      <c r="C789" s="82"/>
      <c r="E789" s="82"/>
      <c r="F789" s="83"/>
      <c r="G789" s="82"/>
      <c r="H789" s="83"/>
      <c r="I789" s="82"/>
      <c r="J789" s="82"/>
    </row>
    <row r="790">
      <c r="A790" s="82"/>
      <c r="B790" s="82"/>
      <c r="C790" s="82"/>
      <c r="E790" s="82"/>
      <c r="F790" s="83"/>
      <c r="G790" s="82"/>
      <c r="H790" s="83"/>
      <c r="I790" s="82"/>
      <c r="J790" s="82"/>
    </row>
    <row r="791">
      <c r="A791" s="82"/>
      <c r="B791" s="82"/>
      <c r="C791" s="82"/>
      <c r="E791" s="82"/>
      <c r="F791" s="83"/>
      <c r="G791" s="82"/>
      <c r="H791" s="83"/>
      <c r="I791" s="82"/>
      <c r="J791" s="82"/>
    </row>
    <row r="792">
      <c r="A792" s="82"/>
      <c r="B792" s="82"/>
      <c r="C792" s="82"/>
      <c r="E792" s="82"/>
      <c r="F792" s="83"/>
      <c r="G792" s="82"/>
      <c r="H792" s="83"/>
      <c r="I792" s="82"/>
      <c r="J792" s="82"/>
    </row>
    <row r="793">
      <c r="A793" s="82"/>
      <c r="B793" s="82"/>
      <c r="C793" s="82"/>
      <c r="E793" s="82"/>
      <c r="F793" s="83"/>
      <c r="G793" s="82"/>
      <c r="H793" s="83"/>
      <c r="I793" s="82"/>
      <c r="J793" s="82"/>
    </row>
    <row r="794">
      <c r="A794" s="82"/>
      <c r="B794" s="82"/>
      <c r="C794" s="82"/>
      <c r="E794" s="82"/>
      <c r="F794" s="83"/>
      <c r="G794" s="82"/>
      <c r="H794" s="83"/>
      <c r="I794" s="82"/>
      <c r="J794" s="82"/>
    </row>
    <row r="795">
      <c r="A795" s="82"/>
      <c r="B795" s="82"/>
      <c r="C795" s="82"/>
      <c r="E795" s="82"/>
      <c r="F795" s="83"/>
      <c r="G795" s="82"/>
      <c r="H795" s="83"/>
      <c r="I795" s="82"/>
      <c r="J795" s="82"/>
    </row>
    <row r="796">
      <c r="A796" s="82"/>
      <c r="B796" s="82"/>
      <c r="C796" s="82"/>
      <c r="E796" s="82"/>
      <c r="F796" s="83"/>
      <c r="G796" s="82"/>
      <c r="H796" s="83"/>
      <c r="I796" s="82"/>
      <c r="J796" s="82"/>
    </row>
    <row r="797">
      <c r="A797" s="82"/>
      <c r="B797" s="82"/>
      <c r="C797" s="82"/>
      <c r="E797" s="82"/>
      <c r="F797" s="83"/>
      <c r="G797" s="82"/>
      <c r="H797" s="83"/>
      <c r="I797" s="82"/>
      <c r="J797" s="82"/>
    </row>
    <row r="798">
      <c r="A798" s="82"/>
      <c r="B798" s="82"/>
      <c r="C798" s="82"/>
      <c r="E798" s="82"/>
      <c r="F798" s="83"/>
      <c r="G798" s="82"/>
      <c r="H798" s="83"/>
      <c r="I798" s="82"/>
      <c r="J798" s="82"/>
    </row>
    <row r="799">
      <c r="A799" s="82"/>
      <c r="B799" s="82"/>
      <c r="C799" s="82"/>
      <c r="E799" s="82"/>
      <c r="F799" s="83"/>
      <c r="G799" s="82"/>
      <c r="H799" s="83"/>
      <c r="I799" s="82"/>
      <c r="J799" s="82"/>
    </row>
    <row r="800">
      <c r="A800" s="82"/>
      <c r="B800" s="82"/>
      <c r="C800" s="82"/>
      <c r="E800" s="82"/>
      <c r="F800" s="83"/>
      <c r="G800" s="82"/>
      <c r="H800" s="83"/>
      <c r="I800" s="82"/>
      <c r="J800" s="82"/>
    </row>
    <row r="801">
      <c r="A801" s="82"/>
      <c r="B801" s="82"/>
      <c r="C801" s="82"/>
      <c r="E801" s="82"/>
      <c r="F801" s="83"/>
      <c r="G801" s="82"/>
      <c r="H801" s="83"/>
      <c r="I801" s="82"/>
      <c r="J801" s="82"/>
    </row>
    <row r="802">
      <c r="A802" s="82"/>
      <c r="B802" s="82"/>
      <c r="C802" s="82"/>
      <c r="E802" s="82"/>
      <c r="F802" s="83"/>
      <c r="G802" s="82"/>
      <c r="H802" s="83"/>
      <c r="I802" s="82"/>
      <c r="J802" s="82"/>
    </row>
    <row r="803">
      <c r="A803" s="82"/>
      <c r="B803" s="82"/>
      <c r="C803" s="82"/>
      <c r="E803" s="82"/>
      <c r="F803" s="83"/>
      <c r="G803" s="82"/>
      <c r="H803" s="83"/>
      <c r="I803" s="82"/>
      <c r="J803" s="82"/>
    </row>
    <row r="804">
      <c r="A804" s="82"/>
      <c r="B804" s="82"/>
      <c r="C804" s="82"/>
      <c r="E804" s="82"/>
      <c r="F804" s="83"/>
      <c r="G804" s="82"/>
      <c r="H804" s="83"/>
      <c r="I804" s="82"/>
      <c r="J804" s="82"/>
    </row>
    <row r="805">
      <c r="A805" s="82"/>
      <c r="B805" s="82"/>
      <c r="C805" s="82"/>
      <c r="E805" s="82"/>
      <c r="F805" s="83"/>
      <c r="G805" s="82"/>
      <c r="H805" s="83"/>
      <c r="I805" s="82"/>
      <c r="J805" s="82"/>
    </row>
    <row r="806">
      <c r="A806" s="82"/>
      <c r="B806" s="82"/>
      <c r="C806" s="82"/>
      <c r="E806" s="82"/>
      <c r="F806" s="83"/>
      <c r="G806" s="82"/>
      <c r="H806" s="83"/>
      <c r="I806" s="82"/>
      <c r="J806" s="82"/>
    </row>
    <row r="807">
      <c r="A807" s="82"/>
      <c r="B807" s="82"/>
      <c r="C807" s="82"/>
      <c r="E807" s="82"/>
      <c r="F807" s="83"/>
      <c r="G807" s="82"/>
      <c r="H807" s="83"/>
      <c r="I807" s="82"/>
      <c r="J807" s="82"/>
    </row>
    <row r="808">
      <c r="A808" s="82"/>
      <c r="B808" s="82"/>
      <c r="C808" s="82"/>
      <c r="E808" s="82"/>
      <c r="F808" s="83"/>
      <c r="G808" s="82"/>
      <c r="H808" s="83"/>
      <c r="I808" s="82"/>
      <c r="J808" s="82"/>
    </row>
    <row r="809">
      <c r="A809" s="82"/>
      <c r="B809" s="82"/>
      <c r="C809" s="82"/>
      <c r="E809" s="82"/>
      <c r="F809" s="83"/>
      <c r="G809" s="82"/>
      <c r="H809" s="83"/>
      <c r="I809" s="82"/>
      <c r="J809" s="82"/>
    </row>
    <row r="810">
      <c r="A810" s="82"/>
      <c r="B810" s="82"/>
      <c r="C810" s="82"/>
      <c r="E810" s="82"/>
      <c r="F810" s="83"/>
      <c r="G810" s="82"/>
      <c r="H810" s="83"/>
      <c r="I810" s="82"/>
      <c r="J810" s="82"/>
    </row>
    <row r="811">
      <c r="A811" s="82"/>
      <c r="B811" s="82"/>
      <c r="C811" s="82"/>
      <c r="E811" s="82"/>
      <c r="F811" s="83"/>
      <c r="G811" s="82"/>
      <c r="H811" s="83"/>
      <c r="I811" s="82"/>
      <c r="J811" s="82"/>
    </row>
    <row r="812">
      <c r="A812" s="82"/>
      <c r="B812" s="82"/>
      <c r="C812" s="82"/>
      <c r="E812" s="82"/>
      <c r="F812" s="83"/>
      <c r="G812" s="82"/>
      <c r="H812" s="83"/>
      <c r="I812" s="82"/>
      <c r="J812" s="82"/>
    </row>
    <row r="813">
      <c r="A813" s="82"/>
      <c r="B813" s="82"/>
      <c r="C813" s="82"/>
      <c r="E813" s="82"/>
      <c r="F813" s="83"/>
      <c r="G813" s="82"/>
      <c r="H813" s="83"/>
      <c r="I813" s="82"/>
      <c r="J813" s="82"/>
    </row>
    <row r="814">
      <c r="A814" s="82"/>
      <c r="B814" s="82"/>
      <c r="C814" s="82"/>
      <c r="E814" s="82"/>
      <c r="F814" s="83"/>
      <c r="G814" s="82"/>
      <c r="H814" s="83"/>
      <c r="I814" s="82"/>
      <c r="J814" s="82"/>
    </row>
    <row r="815">
      <c r="A815" s="82"/>
      <c r="B815" s="82"/>
      <c r="C815" s="82"/>
      <c r="E815" s="82"/>
      <c r="F815" s="83"/>
      <c r="G815" s="82"/>
      <c r="H815" s="83"/>
      <c r="I815" s="82"/>
      <c r="J815" s="82"/>
    </row>
    <row r="816">
      <c r="A816" s="82"/>
      <c r="B816" s="82"/>
      <c r="C816" s="82"/>
      <c r="E816" s="82"/>
      <c r="F816" s="83"/>
      <c r="G816" s="82"/>
      <c r="H816" s="83"/>
      <c r="I816" s="82"/>
      <c r="J816" s="82"/>
    </row>
    <row r="817">
      <c r="A817" s="82"/>
      <c r="B817" s="82"/>
      <c r="C817" s="82"/>
      <c r="E817" s="82"/>
      <c r="F817" s="83"/>
      <c r="G817" s="82"/>
      <c r="H817" s="83"/>
      <c r="I817" s="82"/>
      <c r="J817" s="82"/>
    </row>
    <row r="818">
      <c r="A818" s="82"/>
      <c r="B818" s="82"/>
      <c r="C818" s="82"/>
      <c r="E818" s="82"/>
      <c r="F818" s="83"/>
      <c r="G818" s="82"/>
      <c r="H818" s="83"/>
      <c r="I818" s="82"/>
      <c r="J818" s="82"/>
    </row>
    <row r="819">
      <c r="A819" s="82"/>
      <c r="B819" s="82"/>
      <c r="C819" s="82"/>
      <c r="E819" s="82"/>
      <c r="F819" s="83"/>
      <c r="G819" s="82"/>
      <c r="H819" s="83"/>
      <c r="I819" s="82"/>
      <c r="J819" s="82"/>
    </row>
    <row r="820">
      <c r="A820" s="82"/>
      <c r="B820" s="82"/>
      <c r="C820" s="82"/>
      <c r="E820" s="82"/>
      <c r="F820" s="83"/>
      <c r="G820" s="82"/>
      <c r="H820" s="83"/>
      <c r="I820" s="82"/>
      <c r="J820" s="82"/>
    </row>
    <row r="821">
      <c r="A821" s="82"/>
      <c r="B821" s="82"/>
      <c r="C821" s="82"/>
      <c r="E821" s="82"/>
      <c r="F821" s="83"/>
      <c r="G821" s="82"/>
      <c r="H821" s="83"/>
      <c r="I821" s="82"/>
      <c r="J821" s="82"/>
    </row>
    <row r="822">
      <c r="A822" s="82"/>
      <c r="B822" s="82"/>
      <c r="C822" s="82"/>
      <c r="E822" s="82"/>
      <c r="F822" s="83"/>
      <c r="G822" s="82"/>
      <c r="H822" s="83"/>
      <c r="I822" s="82"/>
      <c r="J822" s="82"/>
    </row>
    <row r="823">
      <c r="A823" s="82"/>
      <c r="B823" s="82"/>
      <c r="C823" s="82"/>
      <c r="E823" s="82"/>
      <c r="F823" s="83"/>
      <c r="G823" s="82"/>
      <c r="H823" s="83"/>
      <c r="I823" s="82"/>
      <c r="J823" s="82"/>
    </row>
    <row r="824">
      <c r="A824" s="82"/>
      <c r="B824" s="82"/>
      <c r="C824" s="82"/>
      <c r="E824" s="82"/>
      <c r="F824" s="83"/>
      <c r="G824" s="82"/>
      <c r="H824" s="83"/>
      <c r="I824" s="82"/>
      <c r="J824" s="82"/>
    </row>
    <row r="825">
      <c r="A825" s="82"/>
      <c r="B825" s="82"/>
      <c r="C825" s="82"/>
      <c r="E825" s="82"/>
      <c r="F825" s="83"/>
      <c r="G825" s="82"/>
      <c r="H825" s="83"/>
      <c r="I825" s="82"/>
      <c r="J825" s="82"/>
    </row>
    <row r="826">
      <c r="A826" s="82"/>
      <c r="B826" s="82"/>
      <c r="C826" s="82"/>
      <c r="E826" s="82"/>
      <c r="F826" s="83"/>
      <c r="G826" s="82"/>
      <c r="H826" s="83"/>
      <c r="I826" s="82"/>
      <c r="J826" s="82"/>
    </row>
    <row r="827">
      <c r="A827" s="82"/>
      <c r="B827" s="82"/>
      <c r="C827" s="82"/>
      <c r="E827" s="82"/>
      <c r="F827" s="83"/>
      <c r="G827" s="82"/>
      <c r="H827" s="83"/>
      <c r="I827" s="82"/>
      <c r="J827" s="82"/>
    </row>
    <row r="828">
      <c r="A828" s="82"/>
      <c r="B828" s="82"/>
      <c r="C828" s="82"/>
      <c r="E828" s="82"/>
      <c r="F828" s="83"/>
      <c r="G828" s="82"/>
      <c r="H828" s="83"/>
      <c r="I828" s="82"/>
      <c r="J828" s="82"/>
    </row>
    <row r="829">
      <c r="A829" s="82"/>
      <c r="B829" s="82"/>
      <c r="C829" s="82"/>
      <c r="E829" s="82"/>
      <c r="F829" s="83"/>
      <c r="G829" s="82"/>
      <c r="H829" s="83"/>
      <c r="I829" s="82"/>
      <c r="J829" s="82"/>
    </row>
    <row r="830">
      <c r="A830" s="82"/>
      <c r="B830" s="82"/>
      <c r="C830" s="82"/>
      <c r="E830" s="82"/>
      <c r="F830" s="83"/>
      <c r="G830" s="82"/>
      <c r="H830" s="83"/>
      <c r="I830" s="82"/>
      <c r="J830" s="82"/>
    </row>
    <row r="831">
      <c r="A831" s="82"/>
      <c r="B831" s="82"/>
      <c r="C831" s="82"/>
      <c r="E831" s="82"/>
      <c r="F831" s="83"/>
      <c r="G831" s="82"/>
      <c r="H831" s="83"/>
      <c r="I831" s="82"/>
      <c r="J831" s="82"/>
    </row>
    <row r="832">
      <c r="A832" s="82"/>
      <c r="B832" s="82"/>
      <c r="C832" s="82"/>
      <c r="E832" s="82"/>
      <c r="F832" s="83"/>
      <c r="G832" s="82"/>
      <c r="H832" s="83"/>
      <c r="I832" s="82"/>
      <c r="J832" s="82"/>
    </row>
    <row r="833">
      <c r="A833" s="82"/>
      <c r="B833" s="82"/>
      <c r="C833" s="82"/>
      <c r="E833" s="82"/>
      <c r="F833" s="83"/>
      <c r="G833" s="82"/>
      <c r="H833" s="83"/>
      <c r="I833" s="82"/>
      <c r="J833" s="82"/>
    </row>
    <row r="834">
      <c r="A834" s="82"/>
      <c r="B834" s="82"/>
      <c r="C834" s="82"/>
      <c r="E834" s="82"/>
      <c r="F834" s="83"/>
      <c r="G834" s="82"/>
      <c r="H834" s="83"/>
      <c r="I834" s="82"/>
      <c r="J834" s="82"/>
    </row>
    <row r="835">
      <c r="A835" s="82"/>
      <c r="B835" s="82"/>
      <c r="C835" s="82"/>
      <c r="E835" s="82"/>
      <c r="F835" s="83"/>
      <c r="G835" s="82"/>
      <c r="H835" s="83"/>
      <c r="I835" s="82"/>
      <c r="J835" s="82"/>
    </row>
    <row r="836">
      <c r="A836" s="82"/>
      <c r="B836" s="82"/>
      <c r="C836" s="82"/>
      <c r="E836" s="82"/>
      <c r="F836" s="83"/>
      <c r="G836" s="82"/>
      <c r="H836" s="83"/>
      <c r="I836" s="82"/>
      <c r="J836" s="82"/>
    </row>
    <row r="837">
      <c r="A837" s="82"/>
      <c r="B837" s="82"/>
      <c r="C837" s="82"/>
      <c r="E837" s="82"/>
      <c r="F837" s="83"/>
      <c r="G837" s="82"/>
      <c r="H837" s="83"/>
      <c r="I837" s="82"/>
      <c r="J837" s="82"/>
    </row>
    <row r="838">
      <c r="A838" s="82"/>
      <c r="B838" s="82"/>
      <c r="C838" s="82"/>
      <c r="E838" s="82"/>
      <c r="F838" s="83"/>
      <c r="G838" s="82"/>
      <c r="H838" s="83"/>
      <c r="I838" s="82"/>
      <c r="J838" s="82"/>
    </row>
    <row r="839">
      <c r="A839" s="82"/>
      <c r="B839" s="82"/>
      <c r="C839" s="82"/>
      <c r="E839" s="82"/>
      <c r="F839" s="83"/>
      <c r="G839" s="82"/>
      <c r="H839" s="83"/>
      <c r="I839" s="82"/>
      <c r="J839" s="82"/>
    </row>
    <row r="840">
      <c r="A840" s="82"/>
      <c r="B840" s="82"/>
      <c r="C840" s="82"/>
      <c r="E840" s="82"/>
      <c r="F840" s="83"/>
      <c r="G840" s="82"/>
      <c r="H840" s="83"/>
      <c r="I840" s="82"/>
      <c r="J840" s="82"/>
    </row>
    <row r="841">
      <c r="A841" s="82"/>
      <c r="B841" s="82"/>
      <c r="C841" s="82"/>
      <c r="E841" s="82"/>
      <c r="F841" s="83"/>
      <c r="G841" s="82"/>
      <c r="H841" s="83"/>
      <c r="I841" s="82"/>
      <c r="J841" s="82"/>
    </row>
    <row r="842">
      <c r="A842" s="82"/>
      <c r="B842" s="82"/>
      <c r="C842" s="82"/>
      <c r="E842" s="82"/>
      <c r="F842" s="83"/>
      <c r="G842" s="82"/>
      <c r="H842" s="83"/>
      <c r="I842" s="82"/>
      <c r="J842" s="82"/>
    </row>
    <row r="843">
      <c r="A843" s="82"/>
      <c r="B843" s="82"/>
      <c r="C843" s="82"/>
      <c r="E843" s="82"/>
      <c r="F843" s="83"/>
      <c r="G843" s="82"/>
      <c r="H843" s="83"/>
      <c r="I843" s="82"/>
      <c r="J843" s="82"/>
    </row>
    <row r="844">
      <c r="A844" s="82"/>
      <c r="B844" s="82"/>
      <c r="C844" s="82"/>
      <c r="E844" s="82"/>
      <c r="F844" s="83"/>
      <c r="G844" s="82"/>
      <c r="H844" s="83"/>
      <c r="I844" s="82"/>
      <c r="J844" s="82"/>
    </row>
    <row r="845">
      <c r="A845" s="82"/>
      <c r="B845" s="82"/>
      <c r="C845" s="82"/>
      <c r="E845" s="82"/>
      <c r="F845" s="83"/>
      <c r="G845" s="82"/>
      <c r="H845" s="83"/>
      <c r="I845" s="82"/>
      <c r="J845" s="82"/>
    </row>
    <row r="846">
      <c r="A846" s="82"/>
      <c r="B846" s="82"/>
      <c r="C846" s="82"/>
      <c r="E846" s="82"/>
      <c r="F846" s="83"/>
      <c r="G846" s="82"/>
      <c r="H846" s="83"/>
      <c r="I846" s="82"/>
      <c r="J846" s="82"/>
    </row>
    <row r="847">
      <c r="A847" s="82"/>
      <c r="B847" s="82"/>
      <c r="C847" s="82"/>
      <c r="E847" s="82"/>
      <c r="F847" s="83"/>
      <c r="G847" s="82"/>
      <c r="H847" s="83"/>
      <c r="I847" s="82"/>
      <c r="J847" s="82"/>
    </row>
    <row r="848">
      <c r="A848" s="82"/>
      <c r="B848" s="82"/>
      <c r="C848" s="82"/>
      <c r="E848" s="82"/>
      <c r="F848" s="83"/>
      <c r="G848" s="82"/>
      <c r="H848" s="83"/>
      <c r="I848" s="82"/>
      <c r="J848" s="82"/>
    </row>
    <row r="849">
      <c r="A849" s="82"/>
      <c r="B849" s="82"/>
      <c r="C849" s="82"/>
      <c r="E849" s="82"/>
      <c r="F849" s="83"/>
      <c r="G849" s="82"/>
      <c r="H849" s="83"/>
      <c r="I849" s="82"/>
      <c r="J849" s="82"/>
    </row>
    <row r="850">
      <c r="A850" s="82"/>
      <c r="B850" s="82"/>
      <c r="C850" s="82"/>
      <c r="E850" s="82"/>
      <c r="F850" s="83"/>
      <c r="G850" s="82"/>
      <c r="H850" s="83"/>
      <c r="I850" s="82"/>
      <c r="J850" s="82"/>
    </row>
    <row r="851">
      <c r="A851" s="82"/>
      <c r="B851" s="82"/>
      <c r="C851" s="82"/>
      <c r="E851" s="82"/>
      <c r="F851" s="83"/>
      <c r="G851" s="82"/>
      <c r="H851" s="83"/>
      <c r="I851" s="82"/>
      <c r="J851" s="82"/>
    </row>
    <row r="852">
      <c r="A852" s="82"/>
      <c r="B852" s="82"/>
      <c r="C852" s="82"/>
      <c r="E852" s="82"/>
      <c r="F852" s="83"/>
      <c r="G852" s="82"/>
      <c r="H852" s="83"/>
      <c r="I852" s="82"/>
      <c r="J852" s="82"/>
    </row>
    <row r="853">
      <c r="A853" s="82"/>
      <c r="B853" s="82"/>
      <c r="C853" s="82"/>
      <c r="E853" s="82"/>
      <c r="F853" s="83"/>
      <c r="G853" s="82"/>
      <c r="H853" s="83"/>
      <c r="I853" s="82"/>
      <c r="J853" s="82"/>
    </row>
    <row r="854">
      <c r="A854" s="82"/>
      <c r="B854" s="82"/>
      <c r="C854" s="82"/>
      <c r="E854" s="82"/>
      <c r="F854" s="83"/>
      <c r="G854" s="82"/>
      <c r="H854" s="83"/>
      <c r="I854" s="82"/>
      <c r="J854" s="82"/>
    </row>
    <row r="855">
      <c r="A855" s="82"/>
      <c r="B855" s="82"/>
      <c r="C855" s="82"/>
      <c r="E855" s="82"/>
      <c r="F855" s="83"/>
      <c r="G855" s="82"/>
      <c r="H855" s="83"/>
      <c r="I855" s="82"/>
      <c r="J855" s="82"/>
    </row>
    <row r="856">
      <c r="A856" s="82"/>
      <c r="B856" s="82"/>
      <c r="C856" s="82"/>
      <c r="E856" s="82"/>
      <c r="F856" s="83"/>
      <c r="G856" s="82"/>
      <c r="H856" s="83"/>
      <c r="I856" s="82"/>
      <c r="J856" s="82"/>
    </row>
    <row r="857">
      <c r="A857" s="82"/>
      <c r="B857" s="82"/>
      <c r="C857" s="82"/>
      <c r="E857" s="82"/>
      <c r="F857" s="83"/>
      <c r="G857" s="82"/>
      <c r="H857" s="83"/>
      <c r="I857" s="82"/>
      <c r="J857" s="82"/>
    </row>
    <row r="858">
      <c r="A858" s="82"/>
      <c r="B858" s="82"/>
      <c r="C858" s="82"/>
      <c r="E858" s="82"/>
      <c r="F858" s="83"/>
      <c r="G858" s="82"/>
      <c r="H858" s="83"/>
      <c r="I858" s="82"/>
      <c r="J858" s="82"/>
    </row>
    <row r="859">
      <c r="A859" s="82"/>
      <c r="B859" s="82"/>
      <c r="C859" s="82"/>
      <c r="E859" s="82"/>
      <c r="F859" s="83"/>
      <c r="G859" s="82"/>
      <c r="H859" s="83"/>
      <c r="I859" s="82"/>
      <c r="J859" s="82"/>
    </row>
    <row r="860">
      <c r="A860" s="82"/>
      <c r="B860" s="82"/>
      <c r="C860" s="82"/>
      <c r="E860" s="82"/>
      <c r="F860" s="83"/>
      <c r="G860" s="82"/>
      <c r="H860" s="83"/>
      <c r="I860" s="82"/>
      <c r="J860" s="82"/>
    </row>
    <row r="861">
      <c r="A861" s="82"/>
      <c r="B861" s="82"/>
      <c r="C861" s="82"/>
      <c r="E861" s="82"/>
      <c r="F861" s="83"/>
      <c r="G861" s="82"/>
      <c r="H861" s="83"/>
      <c r="I861" s="82"/>
      <c r="J861" s="82"/>
    </row>
    <row r="862">
      <c r="A862" s="82"/>
      <c r="B862" s="82"/>
      <c r="C862" s="82"/>
      <c r="E862" s="82"/>
      <c r="F862" s="83"/>
      <c r="G862" s="82"/>
      <c r="H862" s="83"/>
      <c r="I862" s="82"/>
      <c r="J862" s="82"/>
    </row>
    <row r="863">
      <c r="A863" s="82"/>
      <c r="B863" s="82"/>
      <c r="C863" s="82"/>
      <c r="E863" s="82"/>
      <c r="F863" s="83"/>
      <c r="G863" s="82"/>
      <c r="H863" s="83"/>
      <c r="I863" s="82"/>
      <c r="J863" s="82"/>
    </row>
    <row r="864">
      <c r="A864" s="82"/>
      <c r="B864" s="82"/>
      <c r="C864" s="82"/>
      <c r="E864" s="82"/>
      <c r="F864" s="83"/>
      <c r="G864" s="82"/>
      <c r="H864" s="83"/>
      <c r="I864" s="82"/>
      <c r="J864" s="82"/>
    </row>
    <row r="865">
      <c r="A865" s="82"/>
      <c r="B865" s="82"/>
      <c r="C865" s="82"/>
      <c r="E865" s="82"/>
      <c r="F865" s="83"/>
      <c r="G865" s="82"/>
      <c r="H865" s="83"/>
      <c r="I865" s="82"/>
      <c r="J865" s="82"/>
    </row>
    <row r="866">
      <c r="A866" s="82"/>
      <c r="B866" s="82"/>
      <c r="C866" s="82"/>
      <c r="E866" s="82"/>
      <c r="F866" s="83"/>
      <c r="G866" s="82"/>
      <c r="H866" s="83"/>
      <c r="I866" s="82"/>
      <c r="J866" s="82"/>
    </row>
    <row r="867">
      <c r="A867" s="82"/>
      <c r="B867" s="82"/>
      <c r="C867" s="82"/>
      <c r="E867" s="82"/>
      <c r="F867" s="83"/>
      <c r="G867" s="82"/>
      <c r="H867" s="83"/>
      <c r="I867" s="82"/>
      <c r="J867" s="82"/>
    </row>
    <row r="868">
      <c r="A868" s="82"/>
      <c r="B868" s="82"/>
      <c r="C868" s="82"/>
      <c r="E868" s="82"/>
      <c r="F868" s="83"/>
      <c r="G868" s="82"/>
      <c r="H868" s="83"/>
      <c r="I868" s="82"/>
      <c r="J868" s="82"/>
    </row>
    <row r="869">
      <c r="A869" s="82"/>
      <c r="B869" s="82"/>
      <c r="C869" s="82"/>
      <c r="E869" s="82"/>
      <c r="F869" s="83"/>
      <c r="G869" s="82"/>
      <c r="H869" s="83"/>
      <c r="I869" s="82"/>
      <c r="J869" s="82"/>
    </row>
    <row r="870">
      <c r="A870" s="82"/>
      <c r="B870" s="82"/>
      <c r="C870" s="82"/>
      <c r="E870" s="82"/>
      <c r="F870" s="83"/>
      <c r="G870" s="82"/>
      <c r="H870" s="83"/>
      <c r="I870" s="82"/>
      <c r="J870" s="82"/>
    </row>
    <row r="871">
      <c r="A871" s="82"/>
      <c r="B871" s="82"/>
      <c r="C871" s="82"/>
      <c r="E871" s="82"/>
      <c r="F871" s="83"/>
      <c r="G871" s="82"/>
      <c r="H871" s="83"/>
      <c r="I871" s="82"/>
      <c r="J871" s="82"/>
    </row>
    <row r="872">
      <c r="A872" s="82"/>
      <c r="B872" s="82"/>
      <c r="C872" s="82"/>
      <c r="E872" s="82"/>
      <c r="F872" s="83"/>
      <c r="G872" s="82"/>
      <c r="H872" s="83"/>
      <c r="I872" s="82"/>
      <c r="J872" s="82"/>
    </row>
    <row r="873">
      <c r="A873" s="82"/>
      <c r="B873" s="82"/>
      <c r="C873" s="82"/>
      <c r="E873" s="82"/>
      <c r="F873" s="83"/>
      <c r="G873" s="82"/>
      <c r="H873" s="83"/>
      <c r="I873" s="82"/>
      <c r="J873" s="82"/>
    </row>
    <row r="874">
      <c r="A874" s="82"/>
      <c r="B874" s="82"/>
      <c r="C874" s="82"/>
      <c r="E874" s="82"/>
      <c r="F874" s="83"/>
      <c r="G874" s="82"/>
      <c r="H874" s="83"/>
      <c r="I874" s="82"/>
      <c r="J874" s="82"/>
    </row>
    <row r="875">
      <c r="A875" s="82"/>
      <c r="B875" s="82"/>
      <c r="C875" s="82"/>
      <c r="E875" s="82"/>
      <c r="F875" s="83"/>
      <c r="G875" s="82"/>
      <c r="H875" s="83"/>
      <c r="I875" s="82"/>
      <c r="J875" s="82"/>
    </row>
    <row r="876">
      <c r="A876" s="82"/>
      <c r="B876" s="82"/>
      <c r="C876" s="82"/>
      <c r="E876" s="82"/>
      <c r="F876" s="83"/>
      <c r="G876" s="82"/>
      <c r="H876" s="83"/>
      <c r="I876" s="82"/>
      <c r="J876" s="82"/>
    </row>
    <row r="877">
      <c r="A877" s="82"/>
      <c r="B877" s="82"/>
      <c r="C877" s="82"/>
      <c r="E877" s="82"/>
      <c r="F877" s="83"/>
      <c r="G877" s="82"/>
      <c r="H877" s="83"/>
      <c r="I877" s="82"/>
      <c r="J877" s="82"/>
    </row>
    <row r="878">
      <c r="A878" s="82"/>
      <c r="B878" s="82"/>
      <c r="C878" s="82"/>
      <c r="E878" s="82"/>
      <c r="F878" s="83"/>
      <c r="G878" s="82"/>
      <c r="H878" s="83"/>
      <c r="I878" s="82"/>
      <c r="J878" s="82"/>
    </row>
    <row r="879">
      <c r="A879" s="82"/>
      <c r="B879" s="82"/>
      <c r="C879" s="82"/>
      <c r="E879" s="82"/>
      <c r="F879" s="83"/>
      <c r="G879" s="82"/>
      <c r="H879" s="83"/>
      <c r="I879" s="82"/>
      <c r="J879" s="82"/>
    </row>
    <row r="880">
      <c r="A880" s="82"/>
      <c r="B880" s="82"/>
      <c r="C880" s="82"/>
      <c r="E880" s="82"/>
      <c r="F880" s="83"/>
      <c r="G880" s="82"/>
      <c r="H880" s="83"/>
      <c r="I880" s="82"/>
      <c r="J880" s="82"/>
    </row>
    <row r="881">
      <c r="A881" s="82"/>
      <c r="B881" s="82"/>
      <c r="C881" s="82"/>
      <c r="E881" s="82"/>
      <c r="F881" s="83"/>
      <c r="G881" s="82"/>
      <c r="H881" s="83"/>
      <c r="I881" s="82"/>
      <c r="J881" s="82"/>
    </row>
    <row r="882">
      <c r="A882" s="82"/>
      <c r="B882" s="82"/>
      <c r="C882" s="82"/>
      <c r="E882" s="82"/>
      <c r="F882" s="83"/>
      <c r="G882" s="82"/>
      <c r="H882" s="83"/>
      <c r="I882" s="82"/>
      <c r="J882" s="82"/>
    </row>
    <row r="883">
      <c r="A883" s="82"/>
      <c r="B883" s="82"/>
      <c r="C883" s="82"/>
      <c r="E883" s="82"/>
      <c r="F883" s="83"/>
      <c r="G883" s="82"/>
      <c r="H883" s="83"/>
      <c r="I883" s="82"/>
      <c r="J883" s="82"/>
    </row>
    <row r="884">
      <c r="A884" s="82"/>
      <c r="B884" s="82"/>
      <c r="C884" s="82"/>
      <c r="E884" s="82"/>
      <c r="F884" s="83"/>
      <c r="G884" s="82"/>
      <c r="H884" s="83"/>
      <c r="I884" s="82"/>
      <c r="J884" s="82"/>
    </row>
    <row r="885">
      <c r="A885" s="82"/>
      <c r="B885" s="82"/>
      <c r="C885" s="82"/>
      <c r="E885" s="82"/>
      <c r="F885" s="83"/>
      <c r="G885" s="82"/>
      <c r="H885" s="83"/>
      <c r="I885" s="82"/>
      <c r="J885" s="82"/>
    </row>
    <row r="886">
      <c r="A886" s="82"/>
      <c r="B886" s="82"/>
      <c r="C886" s="82"/>
      <c r="E886" s="82"/>
      <c r="F886" s="83"/>
      <c r="G886" s="82"/>
      <c r="H886" s="83"/>
      <c r="I886" s="82"/>
      <c r="J886" s="82"/>
    </row>
    <row r="887">
      <c r="A887" s="82"/>
      <c r="B887" s="82"/>
      <c r="C887" s="82"/>
      <c r="E887" s="82"/>
      <c r="F887" s="83"/>
      <c r="G887" s="82"/>
      <c r="H887" s="83"/>
      <c r="I887" s="82"/>
      <c r="J887" s="82"/>
    </row>
    <row r="888">
      <c r="A888" s="82"/>
      <c r="B888" s="82"/>
      <c r="C888" s="82"/>
      <c r="E888" s="82"/>
      <c r="F888" s="83"/>
      <c r="G888" s="82"/>
      <c r="H888" s="83"/>
      <c r="I888" s="82"/>
      <c r="J888" s="82"/>
    </row>
    <row r="889">
      <c r="A889" s="82"/>
      <c r="B889" s="82"/>
      <c r="C889" s="82"/>
      <c r="E889" s="82"/>
      <c r="F889" s="83"/>
      <c r="G889" s="82"/>
      <c r="H889" s="83"/>
      <c r="I889" s="82"/>
      <c r="J889" s="82"/>
    </row>
    <row r="890">
      <c r="A890" s="82"/>
      <c r="B890" s="82"/>
      <c r="C890" s="82"/>
      <c r="E890" s="82"/>
      <c r="F890" s="83"/>
      <c r="G890" s="82"/>
      <c r="H890" s="83"/>
      <c r="I890" s="82"/>
      <c r="J890" s="82"/>
    </row>
    <row r="891">
      <c r="A891" s="82"/>
      <c r="B891" s="82"/>
      <c r="C891" s="82"/>
      <c r="E891" s="82"/>
      <c r="F891" s="83"/>
      <c r="G891" s="82"/>
      <c r="H891" s="83"/>
      <c r="I891" s="82"/>
      <c r="J891" s="82"/>
    </row>
    <row r="892">
      <c r="A892" s="82"/>
      <c r="B892" s="82"/>
      <c r="C892" s="82"/>
      <c r="E892" s="82"/>
      <c r="F892" s="83"/>
      <c r="G892" s="82"/>
      <c r="H892" s="83"/>
      <c r="I892" s="82"/>
      <c r="J892" s="82"/>
    </row>
    <row r="893">
      <c r="A893" s="82"/>
      <c r="B893" s="82"/>
      <c r="C893" s="82"/>
      <c r="E893" s="82"/>
      <c r="F893" s="83"/>
      <c r="G893" s="82"/>
      <c r="H893" s="83"/>
      <c r="I893" s="82"/>
      <c r="J893" s="82"/>
    </row>
    <row r="894">
      <c r="A894" s="82"/>
      <c r="B894" s="82"/>
      <c r="C894" s="82"/>
      <c r="E894" s="82"/>
      <c r="F894" s="83"/>
      <c r="G894" s="82"/>
      <c r="H894" s="83"/>
      <c r="I894" s="82"/>
      <c r="J894" s="82"/>
    </row>
    <row r="895">
      <c r="A895" s="82"/>
      <c r="B895" s="82"/>
      <c r="C895" s="82"/>
      <c r="E895" s="82"/>
      <c r="F895" s="83"/>
      <c r="G895" s="82"/>
      <c r="H895" s="83"/>
      <c r="I895" s="82"/>
      <c r="J895" s="82"/>
    </row>
    <row r="896">
      <c r="A896" s="82"/>
      <c r="B896" s="82"/>
      <c r="C896" s="82"/>
      <c r="E896" s="82"/>
      <c r="F896" s="83"/>
      <c r="G896" s="82"/>
      <c r="H896" s="83"/>
      <c r="I896" s="82"/>
      <c r="J896" s="82"/>
    </row>
    <row r="897">
      <c r="A897" s="82"/>
      <c r="B897" s="82"/>
      <c r="C897" s="82"/>
      <c r="E897" s="82"/>
      <c r="F897" s="83"/>
      <c r="G897" s="82"/>
      <c r="H897" s="83"/>
      <c r="I897" s="82"/>
      <c r="J897" s="82"/>
    </row>
    <row r="898">
      <c r="A898" s="82"/>
      <c r="B898" s="82"/>
      <c r="C898" s="82"/>
      <c r="E898" s="82"/>
      <c r="F898" s="83"/>
      <c r="G898" s="82"/>
      <c r="H898" s="83"/>
      <c r="I898" s="82"/>
      <c r="J898" s="82"/>
    </row>
    <row r="899">
      <c r="A899" s="82"/>
      <c r="B899" s="82"/>
      <c r="C899" s="82"/>
      <c r="E899" s="82"/>
      <c r="F899" s="83"/>
      <c r="G899" s="82"/>
      <c r="H899" s="83"/>
      <c r="I899" s="82"/>
      <c r="J899" s="82"/>
    </row>
    <row r="900">
      <c r="A900" s="82"/>
      <c r="B900" s="82"/>
      <c r="C900" s="82"/>
      <c r="E900" s="82"/>
      <c r="F900" s="83"/>
      <c r="G900" s="82"/>
      <c r="H900" s="83"/>
      <c r="I900" s="82"/>
      <c r="J900" s="82"/>
    </row>
    <row r="901">
      <c r="A901" s="82"/>
      <c r="B901" s="82"/>
      <c r="C901" s="82"/>
      <c r="E901" s="82"/>
      <c r="F901" s="83"/>
      <c r="G901" s="82"/>
      <c r="H901" s="83"/>
      <c r="I901" s="82"/>
      <c r="J901" s="82"/>
    </row>
    <row r="902">
      <c r="A902" s="82"/>
      <c r="B902" s="82"/>
      <c r="C902" s="82"/>
      <c r="E902" s="82"/>
      <c r="F902" s="83"/>
      <c r="G902" s="82"/>
      <c r="H902" s="83"/>
      <c r="I902" s="82"/>
      <c r="J902" s="82"/>
    </row>
    <row r="903">
      <c r="A903" s="82"/>
      <c r="B903" s="82"/>
      <c r="C903" s="82"/>
      <c r="E903" s="82"/>
      <c r="F903" s="83"/>
      <c r="G903" s="82"/>
      <c r="H903" s="83"/>
      <c r="I903" s="82"/>
      <c r="J903" s="82"/>
    </row>
    <row r="904">
      <c r="A904" s="82"/>
      <c r="B904" s="82"/>
      <c r="C904" s="82"/>
      <c r="E904" s="82"/>
      <c r="F904" s="83"/>
      <c r="G904" s="82"/>
      <c r="H904" s="83"/>
      <c r="I904" s="82"/>
      <c r="J904" s="82"/>
    </row>
    <row r="905">
      <c r="A905" s="82"/>
      <c r="B905" s="82"/>
      <c r="C905" s="82"/>
      <c r="E905" s="82"/>
      <c r="F905" s="83"/>
      <c r="G905" s="82"/>
      <c r="H905" s="83"/>
      <c r="I905" s="82"/>
      <c r="J905" s="82"/>
    </row>
    <row r="906">
      <c r="A906" s="82"/>
      <c r="B906" s="82"/>
      <c r="C906" s="82"/>
      <c r="E906" s="82"/>
      <c r="F906" s="83"/>
      <c r="G906" s="82"/>
      <c r="H906" s="83"/>
      <c r="I906" s="82"/>
      <c r="J906" s="82"/>
    </row>
    <row r="907">
      <c r="A907" s="82"/>
      <c r="B907" s="82"/>
      <c r="C907" s="82"/>
      <c r="E907" s="82"/>
      <c r="F907" s="83"/>
      <c r="G907" s="82"/>
      <c r="H907" s="83"/>
      <c r="I907" s="82"/>
      <c r="J907" s="82"/>
    </row>
    <row r="908">
      <c r="A908" s="82"/>
      <c r="B908" s="82"/>
      <c r="C908" s="82"/>
      <c r="E908" s="82"/>
      <c r="F908" s="83"/>
      <c r="G908" s="82"/>
      <c r="H908" s="83"/>
      <c r="I908" s="82"/>
      <c r="J908" s="82"/>
    </row>
    <row r="909">
      <c r="A909" s="82"/>
      <c r="B909" s="82"/>
      <c r="C909" s="82"/>
      <c r="E909" s="82"/>
      <c r="F909" s="83"/>
      <c r="G909" s="82"/>
      <c r="H909" s="83"/>
      <c r="I909" s="82"/>
      <c r="J909" s="82"/>
    </row>
    <row r="910">
      <c r="A910" s="82"/>
      <c r="B910" s="82"/>
      <c r="C910" s="82"/>
      <c r="E910" s="82"/>
      <c r="F910" s="83"/>
      <c r="G910" s="82"/>
      <c r="H910" s="83"/>
      <c r="I910" s="82"/>
      <c r="J910" s="82"/>
    </row>
    <row r="911">
      <c r="A911" s="82"/>
      <c r="B911" s="82"/>
      <c r="C911" s="82"/>
      <c r="E911" s="82"/>
      <c r="F911" s="83"/>
      <c r="G911" s="82"/>
      <c r="H911" s="83"/>
      <c r="I911" s="82"/>
      <c r="J911" s="82"/>
    </row>
    <row r="912">
      <c r="A912" s="82"/>
      <c r="B912" s="82"/>
      <c r="C912" s="82"/>
      <c r="E912" s="82"/>
      <c r="F912" s="83"/>
      <c r="G912" s="82"/>
      <c r="H912" s="83"/>
      <c r="I912" s="82"/>
      <c r="J912" s="82"/>
    </row>
    <row r="913">
      <c r="A913" s="82"/>
      <c r="B913" s="82"/>
      <c r="C913" s="82"/>
      <c r="E913" s="82"/>
      <c r="F913" s="83"/>
      <c r="G913" s="82"/>
      <c r="H913" s="83"/>
      <c r="I913" s="82"/>
      <c r="J913" s="82"/>
    </row>
    <row r="914">
      <c r="A914" s="82"/>
      <c r="B914" s="82"/>
      <c r="C914" s="82"/>
      <c r="E914" s="82"/>
      <c r="F914" s="83"/>
      <c r="G914" s="82"/>
      <c r="H914" s="83"/>
      <c r="I914" s="82"/>
      <c r="J914" s="82"/>
    </row>
    <row r="915">
      <c r="A915" s="82"/>
      <c r="B915" s="82"/>
      <c r="C915" s="82"/>
      <c r="E915" s="82"/>
      <c r="F915" s="83"/>
      <c r="G915" s="82"/>
      <c r="H915" s="83"/>
      <c r="I915" s="82"/>
      <c r="J915" s="82"/>
    </row>
    <row r="916">
      <c r="A916" s="82"/>
      <c r="B916" s="82"/>
      <c r="C916" s="82"/>
      <c r="E916" s="82"/>
      <c r="F916" s="83"/>
      <c r="G916" s="82"/>
      <c r="H916" s="83"/>
      <c r="I916" s="82"/>
      <c r="J916" s="82"/>
    </row>
    <row r="917">
      <c r="A917" s="82"/>
      <c r="B917" s="82"/>
      <c r="C917" s="82"/>
      <c r="E917" s="82"/>
      <c r="F917" s="83"/>
      <c r="G917" s="82"/>
      <c r="H917" s="83"/>
      <c r="I917" s="82"/>
      <c r="J917" s="82"/>
    </row>
    <row r="918">
      <c r="A918" s="82"/>
      <c r="B918" s="82"/>
      <c r="C918" s="82"/>
      <c r="E918" s="82"/>
      <c r="F918" s="83"/>
      <c r="G918" s="82"/>
      <c r="H918" s="83"/>
      <c r="I918" s="82"/>
      <c r="J918" s="82"/>
    </row>
    <row r="919">
      <c r="A919" s="82"/>
      <c r="B919" s="82"/>
      <c r="C919" s="82"/>
      <c r="E919" s="82"/>
      <c r="F919" s="83"/>
      <c r="G919" s="82"/>
      <c r="H919" s="83"/>
      <c r="I919" s="82"/>
      <c r="J919" s="82"/>
    </row>
    <row r="920">
      <c r="A920" s="82"/>
      <c r="B920" s="82"/>
      <c r="C920" s="82"/>
      <c r="E920" s="82"/>
      <c r="F920" s="83"/>
      <c r="G920" s="82"/>
      <c r="H920" s="83"/>
      <c r="I920" s="82"/>
      <c r="J920" s="82"/>
    </row>
    <row r="921">
      <c r="A921" s="82"/>
      <c r="B921" s="82"/>
      <c r="C921" s="82"/>
      <c r="E921" s="82"/>
      <c r="F921" s="83"/>
      <c r="G921" s="82"/>
      <c r="H921" s="83"/>
      <c r="I921" s="82"/>
      <c r="J921" s="82"/>
    </row>
    <row r="922">
      <c r="A922" s="82"/>
      <c r="B922" s="82"/>
      <c r="C922" s="82"/>
      <c r="E922" s="82"/>
      <c r="F922" s="83"/>
      <c r="G922" s="82"/>
      <c r="H922" s="83"/>
      <c r="I922" s="82"/>
      <c r="J922" s="82"/>
    </row>
    <row r="923">
      <c r="A923" s="82"/>
      <c r="B923" s="82"/>
      <c r="C923" s="82"/>
      <c r="E923" s="82"/>
      <c r="F923" s="83"/>
      <c r="G923" s="82"/>
      <c r="H923" s="83"/>
      <c r="I923" s="82"/>
      <c r="J923" s="82"/>
    </row>
    <row r="924">
      <c r="A924" s="82"/>
      <c r="B924" s="82"/>
      <c r="C924" s="82"/>
      <c r="E924" s="82"/>
      <c r="F924" s="83"/>
      <c r="G924" s="82"/>
      <c r="H924" s="83"/>
      <c r="I924" s="82"/>
      <c r="J924" s="82"/>
    </row>
    <row r="925">
      <c r="A925" s="82"/>
      <c r="B925" s="82"/>
      <c r="C925" s="82"/>
      <c r="E925" s="82"/>
      <c r="F925" s="83"/>
      <c r="G925" s="82"/>
      <c r="H925" s="83"/>
      <c r="I925" s="82"/>
      <c r="J925" s="82"/>
    </row>
    <row r="926">
      <c r="A926" s="82"/>
      <c r="B926" s="82"/>
      <c r="C926" s="82"/>
      <c r="E926" s="82"/>
      <c r="F926" s="83"/>
      <c r="G926" s="82"/>
      <c r="H926" s="83"/>
      <c r="I926" s="82"/>
      <c r="J926" s="82"/>
    </row>
    <row r="927">
      <c r="A927" s="82"/>
      <c r="B927" s="82"/>
      <c r="C927" s="82"/>
      <c r="E927" s="82"/>
      <c r="F927" s="83"/>
      <c r="G927" s="82"/>
      <c r="H927" s="83"/>
      <c r="I927" s="82"/>
      <c r="J927" s="82"/>
    </row>
    <row r="928">
      <c r="A928" s="82"/>
      <c r="B928" s="82"/>
      <c r="C928" s="82"/>
      <c r="E928" s="82"/>
      <c r="F928" s="83"/>
      <c r="G928" s="82"/>
      <c r="H928" s="83"/>
      <c r="I928" s="82"/>
      <c r="J928" s="82"/>
    </row>
    <row r="929">
      <c r="A929" s="82"/>
      <c r="B929" s="82"/>
      <c r="C929" s="82"/>
      <c r="E929" s="82"/>
      <c r="F929" s="83"/>
      <c r="G929" s="82"/>
      <c r="H929" s="83"/>
      <c r="I929" s="82"/>
      <c r="J929" s="82"/>
    </row>
    <row r="930">
      <c r="A930" s="82"/>
      <c r="B930" s="82"/>
      <c r="C930" s="82"/>
      <c r="E930" s="82"/>
      <c r="F930" s="83"/>
      <c r="G930" s="82"/>
      <c r="H930" s="83"/>
      <c r="I930" s="82"/>
      <c r="J930" s="82"/>
    </row>
    <row r="931">
      <c r="A931" s="82"/>
      <c r="B931" s="82"/>
      <c r="C931" s="82"/>
      <c r="E931" s="82"/>
      <c r="F931" s="83"/>
      <c r="G931" s="82"/>
      <c r="H931" s="83"/>
      <c r="I931" s="82"/>
      <c r="J931" s="82"/>
    </row>
    <row r="932">
      <c r="A932" s="82"/>
      <c r="B932" s="82"/>
      <c r="C932" s="82"/>
      <c r="E932" s="82"/>
      <c r="F932" s="83"/>
      <c r="G932" s="82"/>
      <c r="H932" s="83"/>
      <c r="I932" s="82"/>
      <c r="J932" s="82"/>
    </row>
    <row r="933">
      <c r="A933" s="82"/>
      <c r="B933" s="82"/>
      <c r="C933" s="82"/>
      <c r="E933" s="82"/>
      <c r="F933" s="83"/>
      <c r="G933" s="82"/>
      <c r="H933" s="83"/>
      <c r="I933" s="82"/>
      <c r="J933" s="82"/>
    </row>
    <row r="934">
      <c r="A934" s="82"/>
      <c r="B934" s="82"/>
      <c r="C934" s="82"/>
      <c r="E934" s="82"/>
      <c r="F934" s="83"/>
      <c r="G934" s="82"/>
      <c r="H934" s="83"/>
      <c r="I934" s="82"/>
      <c r="J934" s="82"/>
    </row>
    <row r="935">
      <c r="A935" s="82"/>
      <c r="B935" s="82"/>
      <c r="C935" s="82"/>
      <c r="E935" s="82"/>
      <c r="F935" s="83"/>
      <c r="G935" s="82"/>
      <c r="H935" s="83"/>
      <c r="I935" s="82"/>
      <c r="J935" s="82"/>
    </row>
    <row r="936">
      <c r="A936" s="82"/>
      <c r="B936" s="82"/>
      <c r="C936" s="82"/>
      <c r="E936" s="82"/>
      <c r="F936" s="83"/>
      <c r="G936" s="82"/>
      <c r="H936" s="83"/>
      <c r="I936" s="82"/>
      <c r="J936" s="82"/>
    </row>
    <row r="937">
      <c r="A937" s="82"/>
      <c r="B937" s="82"/>
      <c r="C937" s="82"/>
      <c r="E937" s="82"/>
      <c r="F937" s="83"/>
      <c r="G937" s="82"/>
      <c r="H937" s="83"/>
      <c r="I937" s="82"/>
      <c r="J937" s="82"/>
    </row>
    <row r="938">
      <c r="A938" s="82"/>
      <c r="B938" s="82"/>
      <c r="C938" s="82"/>
      <c r="E938" s="82"/>
      <c r="F938" s="83"/>
      <c r="G938" s="82"/>
      <c r="H938" s="83"/>
      <c r="I938" s="82"/>
      <c r="J938" s="82"/>
    </row>
    <row r="939">
      <c r="A939" s="82"/>
      <c r="B939" s="82"/>
      <c r="C939" s="82"/>
      <c r="E939" s="82"/>
      <c r="F939" s="83"/>
      <c r="G939" s="82"/>
      <c r="H939" s="83"/>
      <c r="I939" s="82"/>
      <c r="J939" s="82"/>
    </row>
    <row r="940">
      <c r="A940" s="82"/>
      <c r="B940" s="82"/>
      <c r="C940" s="82"/>
      <c r="E940" s="82"/>
      <c r="F940" s="83"/>
      <c r="G940" s="82"/>
      <c r="H940" s="83"/>
      <c r="I940" s="82"/>
      <c r="J940" s="82"/>
    </row>
    <row r="941">
      <c r="A941" s="82"/>
      <c r="B941" s="82"/>
      <c r="C941" s="82"/>
      <c r="E941" s="82"/>
      <c r="F941" s="83"/>
      <c r="G941" s="82"/>
      <c r="H941" s="83"/>
      <c r="I941" s="82"/>
      <c r="J941" s="82"/>
    </row>
    <row r="942">
      <c r="A942" s="82"/>
      <c r="B942" s="82"/>
      <c r="C942" s="82"/>
      <c r="E942" s="82"/>
      <c r="F942" s="83"/>
      <c r="G942" s="82"/>
      <c r="H942" s="83"/>
      <c r="I942" s="82"/>
      <c r="J942" s="82"/>
    </row>
    <row r="943">
      <c r="A943" s="82"/>
      <c r="B943" s="82"/>
      <c r="C943" s="82"/>
      <c r="E943" s="82"/>
      <c r="F943" s="83"/>
      <c r="G943" s="82"/>
      <c r="H943" s="83"/>
      <c r="I943" s="82"/>
      <c r="J943" s="82"/>
    </row>
    <row r="944">
      <c r="A944" s="82"/>
      <c r="B944" s="82"/>
      <c r="C944" s="82"/>
      <c r="E944" s="82"/>
      <c r="F944" s="83"/>
      <c r="G944" s="82"/>
      <c r="H944" s="83"/>
      <c r="I944" s="82"/>
      <c r="J944" s="82"/>
    </row>
    <row r="945">
      <c r="A945" s="82"/>
      <c r="B945" s="82"/>
      <c r="C945" s="82"/>
      <c r="E945" s="82"/>
      <c r="F945" s="83"/>
      <c r="G945" s="82"/>
      <c r="H945" s="83"/>
      <c r="I945" s="82"/>
      <c r="J945" s="82"/>
    </row>
    <row r="946">
      <c r="A946" s="82"/>
      <c r="B946" s="82"/>
      <c r="C946" s="82"/>
      <c r="E946" s="82"/>
      <c r="F946" s="83"/>
      <c r="G946" s="82"/>
      <c r="H946" s="83"/>
      <c r="I946" s="82"/>
      <c r="J946" s="82"/>
    </row>
    <row r="947">
      <c r="A947" s="82"/>
      <c r="B947" s="82"/>
      <c r="C947" s="82"/>
      <c r="E947" s="82"/>
      <c r="F947" s="83"/>
      <c r="G947" s="82"/>
      <c r="H947" s="83"/>
      <c r="I947" s="82"/>
      <c r="J947" s="82"/>
    </row>
    <row r="948">
      <c r="A948" s="82"/>
      <c r="B948" s="82"/>
      <c r="C948" s="82"/>
      <c r="E948" s="82"/>
      <c r="F948" s="83"/>
      <c r="G948" s="82"/>
      <c r="H948" s="83"/>
      <c r="I948" s="82"/>
      <c r="J948" s="82"/>
    </row>
    <row r="949">
      <c r="A949" s="82"/>
      <c r="B949" s="82"/>
      <c r="C949" s="82"/>
      <c r="E949" s="82"/>
      <c r="F949" s="83"/>
      <c r="G949" s="82"/>
      <c r="H949" s="83"/>
      <c r="I949" s="82"/>
      <c r="J949" s="82"/>
    </row>
    <row r="950">
      <c r="A950" s="82"/>
      <c r="B950" s="82"/>
      <c r="C950" s="82"/>
      <c r="E950" s="82"/>
      <c r="F950" s="83"/>
      <c r="G950" s="82"/>
      <c r="H950" s="83"/>
      <c r="I950" s="82"/>
      <c r="J950" s="82"/>
    </row>
    <row r="951">
      <c r="A951" s="82"/>
      <c r="B951" s="82"/>
      <c r="C951" s="82"/>
      <c r="E951" s="82"/>
      <c r="F951" s="83"/>
      <c r="G951" s="82"/>
      <c r="H951" s="83"/>
      <c r="I951" s="82"/>
      <c r="J951" s="82"/>
    </row>
    <row r="952">
      <c r="A952" s="82"/>
      <c r="B952" s="82"/>
      <c r="C952" s="82"/>
      <c r="E952" s="82"/>
      <c r="F952" s="83"/>
      <c r="G952" s="82"/>
      <c r="H952" s="83"/>
      <c r="I952" s="82"/>
      <c r="J952" s="82"/>
    </row>
    <row r="953">
      <c r="A953" s="82"/>
      <c r="B953" s="82"/>
      <c r="C953" s="82"/>
      <c r="E953" s="82"/>
      <c r="F953" s="83"/>
      <c r="G953" s="82"/>
      <c r="H953" s="83"/>
      <c r="I953" s="82"/>
      <c r="J953" s="82"/>
    </row>
    <row r="954">
      <c r="A954" s="82"/>
      <c r="B954" s="82"/>
      <c r="C954" s="82"/>
      <c r="E954" s="82"/>
      <c r="F954" s="83"/>
      <c r="G954" s="82"/>
      <c r="H954" s="83"/>
      <c r="I954" s="82"/>
      <c r="J954" s="82"/>
    </row>
    <row r="955">
      <c r="A955" s="82"/>
      <c r="B955" s="82"/>
      <c r="C955" s="82"/>
      <c r="E955" s="82"/>
      <c r="F955" s="83"/>
      <c r="G955" s="82"/>
      <c r="H955" s="83"/>
      <c r="I955" s="82"/>
      <c r="J955" s="82"/>
    </row>
    <row r="956">
      <c r="A956" s="82"/>
      <c r="B956" s="82"/>
      <c r="C956" s="82"/>
      <c r="E956" s="82"/>
      <c r="F956" s="83"/>
      <c r="G956" s="82"/>
      <c r="H956" s="83"/>
      <c r="I956" s="82"/>
      <c r="J956" s="82"/>
    </row>
    <row r="957">
      <c r="A957" s="82"/>
      <c r="B957" s="82"/>
      <c r="C957" s="82"/>
      <c r="E957" s="82"/>
      <c r="F957" s="83"/>
      <c r="G957" s="82"/>
      <c r="H957" s="83"/>
      <c r="I957" s="82"/>
      <c r="J957" s="82"/>
    </row>
    <row r="958">
      <c r="A958" s="82"/>
      <c r="B958" s="82"/>
      <c r="C958" s="82"/>
      <c r="E958" s="82"/>
      <c r="F958" s="83"/>
      <c r="G958" s="82"/>
      <c r="H958" s="83"/>
      <c r="I958" s="82"/>
      <c r="J958" s="82"/>
    </row>
    <row r="959">
      <c r="A959" s="82"/>
      <c r="B959" s="82"/>
      <c r="C959" s="82"/>
      <c r="E959" s="82"/>
      <c r="F959" s="83"/>
      <c r="G959" s="82"/>
      <c r="H959" s="83"/>
      <c r="I959" s="82"/>
      <c r="J959" s="82"/>
    </row>
    <row r="960">
      <c r="A960" s="82"/>
      <c r="B960" s="82"/>
      <c r="C960" s="82"/>
      <c r="E960" s="82"/>
      <c r="F960" s="83"/>
      <c r="G960" s="82"/>
      <c r="H960" s="83"/>
      <c r="I960" s="82"/>
      <c r="J960" s="82"/>
    </row>
    <row r="961">
      <c r="A961" s="82"/>
      <c r="B961" s="82"/>
      <c r="C961" s="82"/>
      <c r="E961" s="82"/>
      <c r="F961" s="83"/>
      <c r="G961" s="82"/>
      <c r="H961" s="83"/>
      <c r="I961" s="82"/>
      <c r="J961" s="82"/>
    </row>
    <row r="962">
      <c r="A962" s="82"/>
      <c r="B962" s="82"/>
      <c r="C962" s="82"/>
      <c r="E962" s="82"/>
      <c r="F962" s="83"/>
      <c r="G962" s="82"/>
      <c r="H962" s="83"/>
      <c r="I962" s="82"/>
      <c r="J962" s="82"/>
    </row>
    <row r="963">
      <c r="A963" s="82"/>
      <c r="B963" s="82"/>
      <c r="C963" s="82"/>
      <c r="E963" s="82"/>
      <c r="F963" s="83"/>
      <c r="G963" s="82"/>
      <c r="H963" s="83"/>
      <c r="I963" s="82"/>
      <c r="J963" s="82"/>
    </row>
    <row r="964">
      <c r="A964" s="82"/>
      <c r="B964" s="82"/>
      <c r="C964" s="82"/>
      <c r="E964" s="82"/>
      <c r="F964" s="83"/>
      <c r="G964" s="82"/>
      <c r="H964" s="83"/>
      <c r="I964" s="82"/>
      <c r="J964" s="82"/>
    </row>
    <row r="965">
      <c r="A965" s="82"/>
      <c r="B965" s="82"/>
      <c r="C965" s="82"/>
      <c r="E965" s="82"/>
      <c r="F965" s="83"/>
      <c r="G965" s="82"/>
      <c r="H965" s="83"/>
      <c r="I965" s="82"/>
      <c r="J965" s="82"/>
    </row>
    <row r="966">
      <c r="A966" s="82"/>
      <c r="B966" s="82"/>
      <c r="C966" s="82"/>
      <c r="E966" s="82"/>
      <c r="F966" s="83"/>
      <c r="G966" s="82"/>
      <c r="H966" s="83"/>
      <c r="I966" s="82"/>
      <c r="J966" s="82"/>
    </row>
    <row r="967">
      <c r="A967" s="82"/>
      <c r="B967" s="82"/>
      <c r="C967" s="82"/>
      <c r="E967" s="82"/>
      <c r="F967" s="83"/>
      <c r="G967" s="82"/>
      <c r="H967" s="83"/>
      <c r="I967" s="82"/>
      <c r="J967" s="82"/>
    </row>
    <row r="968">
      <c r="A968" s="82"/>
      <c r="B968" s="82"/>
      <c r="C968" s="82"/>
      <c r="E968" s="82"/>
      <c r="F968" s="83"/>
      <c r="G968" s="82"/>
      <c r="H968" s="83"/>
      <c r="I968" s="82"/>
      <c r="J968" s="82"/>
    </row>
    <row r="969">
      <c r="A969" s="82"/>
      <c r="B969" s="82"/>
      <c r="C969" s="82"/>
      <c r="E969" s="82"/>
      <c r="F969" s="83"/>
      <c r="G969" s="82"/>
      <c r="H969" s="83"/>
      <c r="I969" s="82"/>
      <c r="J969" s="82"/>
    </row>
    <row r="970">
      <c r="A970" s="82"/>
      <c r="B970" s="82"/>
      <c r="C970" s="82"/>
      <c r="E970" s="82"/>
      <c r="F970" s="83"/>
      <c r="G970" s="82"/>
      <c r="H970" s="83"/>
      <c r="I970" s="82"/>
      <c r="J970" s="82"/>
    </row>
    <row r="971">
      <c r="A971" s="82"/>
      <c r="B971" s="82"/>
      <c r="C971" s="82"/>
      <c r="E971" s="82"/>
      <c r="F971" s="83"/>
      <c r="G971" s="82"/>
      <c r="H971" s="83"/>
      <c r="I971" s="82"/>
      <c r="J971" s="82"/>
    </row>
    <row r="972">
      <c r="A972" s="82"/>
      <c r="B972" s="82"/>
      <c r="C972" s="82"/>
      <c r="E972" s="82"/>
      <c r="F972" s="83"/>
      <c r="G972" s="82"/>
      <c r="H972" s="83"/>
      <c r="I972" s="82"/>
      <c r="J972" s="82"/>
    </row>
    <row r="973">
      <c r="A973" s="82"/>
      <c r="B973" s="82"/>
      <c r="C973" s="82"/>
      <c r="E973" s="82"/>
      <c r="F973" s="83"/>
      <c r="G973" s="82"/>
      <c r="H973" s="83"/>
      <c r="I973" s="82"/>
      <c r="J973" s="82"/>
    </row>
    <row r="974">
      <c r="A974" s="82"/>
      <c r="B974" s="82"/>
      <c r="C974" s="82"/>
      <c r="E974" s="82"/>
      <c r="F974" s="83"/>
      <c r="G974" s="82"/>
      <c r="H974" s="83"/>
      <c r="I974" s="82"/>
      <c r="J974" s="82"/>
    </row>
    <row r="975">
      <c r="A975" s="82"/>
      <c r="B975" s="82"/>
      <c r="C975" s="82"/>
      <c r="E975" s="82"/>
      <c r="F975" s="83"/>
      <c r="G975" s="82"/>
      <c r="H975" s="83"/>
      <c r="I975" s="82"/>
      <c r="J975" s="82"/>
    </row>
    <row r="976">
      <c r="A976" s="82"/>
      <c r="B976" s="82"/>
      <c r="C976" s="82"/>
      <c r="E976" s="82"/>
      <c r="F976" s="83"/>
      <c r="G976" s="82"/>
      <c r="H976" s="83"/>
      <c r="I976" s="82"/>
      <c r="J976" s="82"/>
    </row>
    <row r="977">
      <c r="A977" s="82"/>
      <c r="B977" s="82"/>
      <c r="C977" s="82"/>
      <c r="E977" s="82"/>
      <c r="F977" s="83"/>
      <c r="G977" s="82"/>
      <c r="H977" s="83"/>
      <c r="I977" s="82"/>
      <c r="J977" s="82"/>
    </row>
    <row r="978">
      <c r="A978" s="82"/>
      <c r="B978" s="82"/>
      <c r="C978" s="82"/>
      <c r="E978" s="82"/>
      <c r="F978" s="83"/>
      <c r="G978" s="82"/>
      <c r="H978" s="83"/>
      <c r="I978" s="82"/>
      <c r="J978" s="82"/>
    </row>
    <row r="979">
      <c r="A979" s="82"/>
      <c r="B979" s="82"/>
      <c r="C979" s="82"/>
      <c r="E979" s="82"/>
      <c r="F979" s="83"/>
      <c r="G979" s="82"/>
      <c r="H979" s="83"/>
      <c r="I979" s="82"/>
      <c r="J979" s="82"/>
    </row>
    <row r="980">
      <c r="A980" s="82"/>
      <c r="B980" s="82"/>
      <c r="C980" s="82"/>
      <c r="E980" s="82"/>
      <c r="F980" s="83"/>
      <c r="G980" s="82"/>
      <c r="H980" s="83"/>
      <c r="I980" s="82"/>
      <c r="J980" s="82"/>
    </row>
    <row r="981">
      <c r="A981" s="82"/>
      <c r="B981" s="82"/>
      <c r="C981" s="82"/>
      <c r="E981" s="82"/>
      <c r="F981" s="83"/>
      <c r="G981" s="82"/>
      <c r="H981" s="83"/>
      <c r="I981" s="82"/>
      <c r="J981" s="82"/>
    </row>
    <row r="982">
      <c r="A982" s="82"/>
      <c r="B982" s="82"/>
      <c r="C982" s="82"/>
      <c r="E982" s="82"/>
      <c r="F982" s="83"/>
      <c r="G982" s="82"/>
      <c r="H982" s="83"/>
      <c r="I982" s="82"/>
      <c r="J982" s="82"/>
    </row>
    <row r="983">
      <c r="A983" s="82"/>
      <c r="B983" s="82"/>
      <c r="C983" s="82"/>
      <c r="E983" s="82"/>
      <c r="F983" s="83"/>
      <c r="G983" s="82"/>
      <c r="H983" s="83"/>
      <c r="I983" s="82"/>
      <c r="J983" s="82"/>
    </row>
    <row r="984">
      <c r="A984" s="82"/>
      <c r="B984" s="82"/>
      <c r="C984" s="82"/>
      <c r="E984" s="82"/>
      <c r="F984" s="83"/>
      <c r="G984" s="82"/>
      <c r="H984" s="83"/>
      <c r="I984" s="82"/>
      <c r="J984" s="82"/>
    </row>
    <row r="985">
      <c r="A985" s="82"/>
      <c r="B985" s="82"/>
      <c r="C985" s="82"/>
      <c r="E985" s="82"/>
      <c r="F985" s="83"/>
      <c r="G985" s="82"/>
      <c r="H985" s="83"/>
      <c r="I985" s="82"/>
      <c r="J985" s="82"/>
    </row>
    <row r="986">
      <c r="A986" s="82"/>
      <c r="B986" s="82"/>
      <c r="C986" s="82"/>
      <c r="E986" s="82"/>
      <c r="F986" s="83"/>
      <c r="G986" s="82"/>
      <c r="H986" s="83"/>
      <c r="I986" s="82"/>
      <c r="J986" s="82"/>
    </row>
    <row r="987">
      <c r="A987" s="82"/>
      <c r="B987" s="82"/>
      <c r="C987" s="82"/>
      <c r="E987" s="82"/>
      <c r="F987" s="83"/>
      <c r="G987" s="82"/>
      <c r="H987" s="83"/>
      <c r="I987" s="82"/>
      <c r="J987" s="82"/>
    </row>
    <row r="988">
      <c r="A988" s="82"/>
      <c r="B988" s="82"/>
      <c r="C988" s="82"/>
      <c r="E988" s="82"/>
      <c r="F988" s="83"/>
      <c r="G988" s="82"/>
      <c r="H988" s="83"/>
      <c r="I988" s="82"/>
      <c r="J988" s="82"/>
    </row>
    <row r="989">
      <c r="A989" s="82"/>
      <c r="B989" s="82"/>
      <c r="C989" s="82"/>
      <c r="E989" s="82"/>
      <c r="F989" s="83"/>
      <c r="G989" s="82"/>
      <c r="H989" s="83"/>
      <c r="I989" s="82"/>
      <c r="J989" s="82"/>
    </row>
    <row r="990">
      <c r="A990" s="82"/>
      <c r="B990" s="82"/>
      <c r="C990" s="82"/>
      <c r="E990" s="82"/>
      <c r="F990" s="83"/>
      <c r="G990" s="82"/>
      <c r="H990" s="83"/>
      <c r="I990" s="82"/>
      <c r="J990" s="82"/>
    </row>
    <row r="991">
      <c r="A991" s="82"/>
      <c r="B991" s="82"/>
      <c r="C991" s="82"/>
      <c r="E991" s="82"/>
      <c r="F991" s="83"/>
      <c r="G991" s="82"/>
      <c r="H991" s="83"/>
      <c r="I991" s="82"/>
      <c r="J991" s="82"/>
    </row>
    <row r="992">
      <c r="A992" s="82"/>
      <c r="B992" s="82"/>
      <c r="C992" s="82"/>
      <c r="E992" s="82"/>
      <c r="F992" s="83"/>
      <c r="G992" s="82"/>
      <c r="H992" s="83"/>
      <c r="I992" s="82"/>
      <c r="J992" s="82"/>
    </row>
    <row r="993">
      <c r="A993" s="82"/>
      <c r="B993" s="82"/>
      <c r="C993" s="82"/>
      <c r="E993" s="82"/>
      <c r="F993" s="83"/>
      <c r="G993" s="82"/>
      <c r="H993" s="83"/>
      <c r="I993" s="82"/>
      <c r="J993" s="82"/>
    </row>
    <row r="994">
      <c r="A994" s="82"/>
      <c r="B994" s="82"/>
      <c r="C994" s="82"/>
      <c r="E994" s="82"/>
      <c r="F994" s="83"/>
      <c r="G994" s="82"/>
      <c r="H994" s="83"/>
      <c r="I994" s="82"/>
      <c r="J994" s="82"/>
    </row>
    <row r="995">
      <c r="A995" s="82"/>
      <c r="B995" s="82"/>
      <c r="C995" s="82"/>
      <c r="E995" s="82"/>
      <c r="F995" s="83"/>
      <c r="G995" s="82"/>
      <c r="H995" s="83"/>
      <c r="I995" s="82"/>
      <c r="J995" s="82"/>
    </row>
    <row r="996">
      <c r="A996" s="82"/>
      <c r="B996" s="82"/>
      <c r="C996" s="82"/>
      <c r="E996" s="82"/>
      <c r="F996" s="83"/>
      <c r="G996" s="82"/>
      <c r="H996" s="83"/>
      <c r="I996" s="82"/>
      <c r="J996" s="82"/>
    </row>
    <row r="997">
      <c r="A997" s="82"/>
      <c r="B997" s="82"/>
      <c r="C997" s="82"/>
      <c r="E997" s="82"/>
      <c r="F997" s="83"/>
      <c r="G997" s="82"/>
      <c r="H997" s="83"/>
      <c r="I997" s="82"/>
      <c r="J997" s="82"/>
    </row>
    <row r="998">
      <c r="A998" s="82"/>
      <c r="B998" s="82"/>
      <c r="C998" s="82"/>
      <c r="E998" s="82"/>
      <c r="F998" s="83"/>
      <c r="G998" s="82"/>
      <c r="H998" s="83"/>
      <c r="I998" s="82"/>
      <c r="J998" s="82"/>
    </row>
    <row r="999">
      <c r="A999" s="82"/>
      <c r="B999" s="82"/>
      <c r="C999" s="82"/>
      <c r="E999" s="82"/>
      <c r="F999" s="83"/>
      <c r="G999" s="82"/>
      <c r="H999" s="83"/>
      <c r="I999" s="82"/>
      <c r="J999" s="82"/>
    </row>
    <row r="1000">
      <c r="A1000" s="82"/>
      <c r="B1000" s="82"/>
      <c r="C1000" s="82"/>
      <c r="E1000" s="82"/>
      <c r="F1000" s="83"/>
      <c r="G1000" s="82"/>
      <c r="H1000" s="83"/>
      <c r="I1000" s="82"/>
      <c r="J1000" s="82"/>
    </row>
  </sheetData>
  <hyperlinks>
    <hyperlink r:id="rId1" ref="D2"/>
    <hyperlink r:id="rId2" ref="D3"/>
    <hyperlink r:id="rId3" ref="D4"/>
    <hyperlink r:id="rId4" ref="D5"/>
    <hyperlink r:id="rId5" ref="D6"/>
    <hyperlink r:id="rId6" ref="D9"/>
    <hyperlink r:id="rId7" ref="D10"/>
    <hyperlink r:id="rId8" ref="D11"/>
    <hyperlink r:id="rId9" ref="D12"/>
    <hyperlink r:id="rId10" ref="D13"/>
    <hyperlink r:id="rId11" ref="D14"/>
    <hyperlink r:id="rId12" ref="D15"/>
    <hyperlink r:id="rId13" ref="D16"/>
    <hyperlink r:id="rId14" ref="D17"/>
    <hyperlink r:id="rId15" ref="D18"/>
    <hyperlink r:id="rId16" ref="D19"/>
    <hyperlink r:id="rId17" ref="D20"/>
    <hyperlink r:id="rId18" ref="D21"/>
    <hyperlink r:id="rId19" ref="D22"/>
    <hyperlink r:id="rId20" ref="D23"/>
    <hyperlink r:id="rId21" ref="D26"/>
    <hyperlink r:id="rId22" ref="D29"/>
    <hyperlink r:id="rId23" ref="D32"/>
    <hyperlink r:id="rId24" ref="D50"/>
    <hyperlink r:id="rId25" ref="D55"/>
    <hyperlink r:id="rId26" ref="D60"/>
    <hyperlink r:id="rId27" ref="D62"/>
    <hyperlink r:id="rId28" ref="D63"/>
    <hyperlink r:id="rId29" ref="D65"/>
    <hyperlink r:id="rId30" ref="D67"/>
    <hyperlink r:id="rId31" ref="D68"/>
    <hyperlink r:id="rId32" ref="D71"/>
    <hyperlink r:id="rId33" ref="E84"/>
    <hyperlink r:id="rId34" ref="E86"/>
    <hyperlink r:id="rId35" ref="E88"/>
    <hyperlink r:id="rId36" ref="E89"/>
    <hyperlink r:id="rId37" ref="E90"/>
    <hyperlink r:id="rId38" ref="E91"/>
    <hyperlink r:id="rId39" ref="E94"/>
    <hyperlink r:id="rId40" ref="C101"/>
    <hyperlink r:id="rId41" ref="C102"/>
    <hyperlink r:id="rId42" ref="C109"/>
    <hyperlink r:id="rId43" ref="C110"/>
    <hyperlink r:id="rId44" ref="C116"/>
    <hyperlink r:id="rId45" ref="D122"/>
    <hyperlink r:id="rId46" ref="D123"/>
    <hyperlink r:id="rId47" ref="D124"/>
    <hyperlink r:id="rId48" ref="D126"/>
    <hyperlink r:id="rId49" ref="D127"/>
    <hyperlink r:id="rId50" ref="D128"/>
    <hyperlink r:id="rId51" ref="D129"/>
    <hyperlink r:id="rId52" ref="D130"/>
    <hyperlink r:id="rId53" ref="D133"/>
    <hyperlink r:id="rId54" ref="D134"/>
    <hyperlink r:id="rId55" ref="D135"/>
    <hyperlink r:id="rId56" ref="D136"/>
    <hyperlink r:id="rId57" ref="C141"/>
    <hyperlink r:id="rId58" ref="C154"/>
    <hyperlink r:id="rId59" ref="C156"/>
  </hyperlinks>
  <drawing r:id="rId60"/>
</worksheet>
</file>